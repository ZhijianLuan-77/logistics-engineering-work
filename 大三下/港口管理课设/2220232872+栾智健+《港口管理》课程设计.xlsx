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大三下学期\港口管理课设\"/>
    </mc:Choice>
  </mc:AlternateContent>
  <xr:revisionPtr revIDLastSave="0" documentId="13_ncr:1_{F3E07DD6-C7E6-4908-A548-11235D0C8D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装卸作业技术方案主表" sheetId="1" r:id="rId1"/>
    <sheet name="原始货运量资料" sheetId="2" r:id="rId2"/>
    <sheet name="工艺过程参数" sheetId="3" r:id="rId3"/>
    <sheet name="机械资源参数" sheetId="4" r:id="rId4"/>
    <sheet name="货流拆分表" sheetId="5" r:id="rId5"/>
    <sheet name="操作过程明细表" sheetId="6" r:id="rId6"/>
    <sheet name="主要指标汇总" sheetId="7" r:id="rId7"/>
    <sheet name="通过能力核算" sheetId="8" r:id="rId8"/>
    <sheet name="机械能力核算" sheetId="9" r:id="rId9"/>
    <sheet name="薄弱环节分析" sheetId="10" r:id="rId10"/>
    <sheet name="资源增配测算" sheetId="11" r:id="rId11"/>
    <sheet name="图表数据" sheetId="12" r:id="rId12"/>
    <sheet name="双口径校核" sheetId="13" r:id="rId13"/>
    <sheet name="原始419口径货流拆分" sheetId="14" r:id="rId14"/>
    <sheet name="原始419口径指标" sheetId="15" r:id="rId15"/>
    <sheet name="MILP工艺选择" sheetId="16" r:id="rId16"/>
    <sheet name="MILP机械能力" sheetId="17" r:id="rId17"/>
    <sheet name="MILP模型规模" sheetId="18" r:id="rId18"/>
    <sheet name="MILP资源负荷" sheetId="19" r:id="rId19"/>
    <sheet name="Gurobi模型摘要" sheetId="20" r:id="rId20"/>
    <sheet name="Gurobi资源负荷" sheetId="21" r:id="rId21"/>
    <sheet name="Gurobi设备增配" sheetId="22" r:id="rId22"/>
    <sheet name="Gurobi工艺选择" sheetId="23" r:id="rId23"/>
    <sheet name="启发式摘要" sheetId="24" r:id="rId24"/>
    <sheet name="启发式资源负荷" sheetId="25" r:id="rId25"/>
    <sheet name="启发式工艺选择" sheetId="26" r:id="rId26"/>
  </sheets>
  <calcPr calcId="0"/>
</workbook>
</file>

<file path=xl/sharedStrings.xml><?xml version="1.0" encoding="utf-8"?>
<sst xmlns="http://schemas.openxmlformats.org/spreadsheetml/2006/main" count="3096" uniqueCount="722">
  <si>
    <t>港口装卸作业技术方案</t>
  </si>
  <si>
    <t xml:space="preserve">编制单位                                                       </t>
  </si>
  <si>
    <t>编制时间</t>
  </si>
  <si>
    <t>流向</t>
  </si>
  <si>
    <t>货种</t>
  </si>
  <si>
    <t>货运量</t>
  </si>
  <si>
    <t>操作过程</t>
  </si>
  <si>
    <t>操作量</t>
  </si>
  <si>
    <t>效率</t>
  </si>
  <si>
    <t>作业小时</t>
  </si>
  <si>
    <t>配工人数</t>
  </si>
  <si>
    <t>作业工时</t>
  </si>
  <si>
    <t>工时效率</t>
  </si>
  <si>
    <t>机 械 作 业 量（万吨）</t>
  </si>
  <si>
    <t>机 械 作 业 台 时</t>
  </si>
  <si>
    <t>库场</t>
  </si>
  <si>
    <t>机械工序吨</t>
  </si>
  <si>
    <t>总工序吨</t>
  </si>
  <si>
    <t>主要指标</t>
  </si>
  <si>
    <t>备注</t>
  </si>
  <si>
    <t>门吊</t>
  </si>
  <si>
    <t>装卸桥</t>
  </si>
  <si>
    <t>K吊</t>
  </si>
  <si>
    <t>柴吊</t>
  </si>
  <si>
    <t>场桥</t>
  </si>
  <si>
    <t>正面吊</t>
  </si>
  <si>
    <t>跨运车</t>
  </si>
  <si>
    <t>拖挂车</t>
  </si>
  <si>
    <t>万能机</t>
  </si>
  <si>
    <t>大叉车</t>
  </si>
  <si>
    <t>小叉车</t>
  </si>
  <si>
    <t>大黄斗</t>
  </si>
  <si>
    <t>拖头</t>
  </si>
  <si>
    <t>推扒机</t>
  </si>
  <si>
    <t>桥吊</t>
  </si>
  <si>
    <t>小计</t>
  </si>
  <si>
    <t>名称</t>
  </si>
  <si>
    <t>单位</t>
  </si>
  <si>
    <t>数量</t>
  </si>
  <si>
    <t>国内出口</t>
  </si>
  <si>
    <t>杂货</t>
  </si>
  <si>
    <t>车—场</t>
  </si>
  <si>
    <t>20箱/h</t>
  </si>
  <si>
    <t>后方堆场</t>
  </si>
  <si>
    <t>吞吐量</t>
  </si>
  <si>
    <t>万吨</t>
  </si>
  <si>
    <t>轮胎龙门吊；集装箱杂货</t>
  </si>
  <si>
    <t>场—船</t>
  </si>
  <si>
    <t>跨运车—装卸桥；集装箱杂货</t>
  </si>
  <si>
    <t>生铁</t>
  </si>
  <si>
    <t>100T/h</t>
  </si>
  <si>
    <t>前方堆场</t>
  </si>
  <si>
    <t>机械起运量</t>
  </si>
  <si>
    <t>桥吊—电磁吸盘；电磁吸盘卸车60%，后续成组装船</t>
  </si>
  <si>
    <t>80T/h</t>
  </si>
  <si>
    <t>操作系数</t>
  </si>
  <si>
    <t>次/吨</t>
  </si>
  <si>
    <t>K吊—牵引车—门机；电磁吸盘卸车60%，后续成组装船</t>
  </si>
  <si>
    <t>50T/h</t>
  </si>
  <si>
    <t>直接换装比重</t>
  </si>
  <si>
    <t>%</t>
  </si>
  <si>
    <t>人力—万能机；非电磁吸盘部分按成组货处理</t>
  </si>
  <si>
    <t>机械化作业比重</t>
  </si>
  <si>
    <t>K吊—牵引车—门机；非电磁吸盘部分按成组货处理</t>
  </si>
  <si>
    <t>水泥</t>
  </si>
  <si>
    <t>车—库</t>
  </si>
  <si>
    <t>35T/h</t>
  </si>
  <si>
    <t>仓库</t>
  </si>
  <si>
    <t>同时开头量N舱</t>
  </si>
  <si>
    <t>个</t>
  </si>
  <si>
    <t>小叉车；卸车后全部货板</t>
  </si>
  <si>
    <t>库—船</t>
  </si>
  <si>
    <t>40T/h</t>
  </si>
  <si>
    <t>同时开头量N车</t>
  </si>
  <si>
    <t>辆</t>
  </si>
  <si>
    <t>小叉车—万能机—门机；卸车后全部货板</t>
  </si>
  <si>
    <t>纯碱</t>
  </si>
  <si>
    <t>60T/h</t>
  </si>
  <si>
    <t>P综</t>
  </si>
  <si>
    <t>吨/工时</t>
  </si>
  <si>
    <t>万能机；成组</t>
  </si>
  <si>
    <t>P船</t>
  </si>
  <si>
    <t>K吊—牵引车—门机；成组</t>
  </si>
  <si>
    <t>国内进口</t>
  </si>
  <si>
    <t>棉花</t>
  </si>
  <si>
    <t>船—车</t>
  </si>
  <si>
    <t>30T/h</t>
  </si>
  <si>
    <t>P车</t>
  </si>
  <si>
    <t>门机；直接换装</t>
  </si>
  <si>
    <t>矿石</t>
  </si>
  <si>
    <t>65T/h</t>
  </si>
  <si>
    <t>劳动生产率(吞吐量)</t>
  </si>
  <si>
    <t>吨/人</t>
  </si>
  <si>
    <t>门机—抓斗；直接换装</t>
  </si>
  <si>
    <t>船—场</t>
  </si>
  <si>
    <t>70T/h</t>
  </si>
  <si>
    <t>劳动生产率(操作量)</t>
  </si>
  <si>
    <t>门机—抓斗；经堆场疏运</t>
  </si>
  <si>
    <t>场—车</t>
  </si>
  <si>
    <t>150T/h</t>
  </si>
  <si>
    <t>平均舱时量</t>
  </si>
  <si>
    <t>吨/小时</t>
  </si>
  <si>
    <t>大黄斗；经堆场疏运</t>
  </si>
  <si>
    <t>25T/h</t>
  </si>
  <si>
    <t>平均车时量</t>
  </si>
  <si>
    <t>门机；直接换装，不成组</t>
  </si>
  <si>
    <t>船—库</t>
  </si>
  <si>
    <t>装车数</t>
  </si>
  <si>
    <t>车</t>
  </si>
  <si>
    <t>门机—牵引车—小叉车；入库部分全部货盘成组</t>
  </si>
  <si>
    <t>库—车</t>
  </si>
  <si>
    <t>卸车数</t>
  </si>
  <si>
    <t>小叉车；入库部分全部货盘成组</t>
  </si>
  <si>
    <t>国外出口</t>
  </si>
  <si>
    <t>海盐</t>
  </si>
  <si>
    <t>车—船</t>
  </si>
  <si>
    <t>K吊；网络成组后装船</t>
  </si>
  <si>
    <t>K吊—牵引车—门机；网络成组后装船</t>
  </si>
  <si>
    <t>大米</t>
  </si>
  <si>
    <t>小叉车；卸车后网络成组</t>
  </si>
  <si>
    <t>45T/h</t>
  </si>
  <si>
    <t>小叉车—门机；卸车后网络成组</t>
  </si>
  <si>
    <t>国外进口</t>
  </si>
  <si>
    <t>橡胶</t>
  </si>
  <si>
    <t>船—船</t>
  </si>
  <si>
    <t>门机；直接过驳</t>
  </si>
  <si>
    <t>钢材</t>
  </si>
  <si>
    <t>门机—万能机；经堆场疏运</t>
  </si>
  <si>
    <t>门机；经堆场疏运</t>
  </si>
  <si>
    <t>其它</t>
  </si>
  <si>
    <t>跨运车—装卸桥；任务书给定船—库—车，90%按整箱经库区疏运处理</t>
  </si>
  <si>
    <t>轮胎龙门吊；任务书给定船—库—车，90%按整箱经库区疏运处理</t>
  </si>
  <si>
    <t>跨运车—装卸桥；任务书备注10%拆箱后汽车疏运，库—车边套用件杂货疏运工艺</t>
  </si>
  <si>
    <t>小叉车；任务书备注10%拆箱后汽车疏运，库—车边套用件杂货疏运工艺</t>
  </si>
  <si>
    <t>货类</t>
  </si>
  <si>
    <t>工艺货类</t>
  </si>
  <si>
    <t>运量_万吨</t>
  </si>
  <si>
    <t>表一原始运量_万吨</t>
  </si>
  <si>
    <t>包装件重</t>
  </si>
  <si>
    <t>任务书路径</t>
  </si>
  <si>
    <t>校正系数</t>
  </si>
  <si>
    <t>运量_吨</t>
  </si>
  <si>
    <t>计算口径</t>
  </si>
  <si>
    <t>集装箱</t>
  </si>
  <si>
    <t>集装箱：10吨/箱</t>
  </si>
  <si>
    <t>车—场—船</t>
  </si>
  <si>
    <t>集装箱杂货</t>
  </si>
  <si>
    <t>计划任务500万吨校正口径</t>
  </si>
  <si>
    <t>散：5-30kg/块</t>
  </si>
  <si>
    <t>电磁吸盘卸60%，卸车后全部成组</t>
  </si>
  <si>
    <t>袋：50kg/袋</t>
  </si>
  <si>
    <t>车—库—船</t>
  </si>
  <si>
    <t>卸车后全部货板</t>
  </si>
  <si>
    <t>袋：1吨/袋</t>
  </si>
  <si>
    <t>成组</t>
  </si>
  <si>
    <t>捆：100-150kg/件</t>
  </si>
  <si>
    <t>直接换装</t>
  </si>
  <si>
    <t>散：r=3吨/m2</t>
  </si>
  <si>
    <t>船—车；船—场—车</t>
  </si>
  <si>
    <t>50%直接换装</t>
  </si>
  <si>
    <t>箱袋：25kg/件</t>
  </si>
  <si>
    <t>船—车；船—库—车</t>
  </si>
  <si>
    <t>25%直接换装（不成组），其余货盘成组</t>
  </si>
  <si>
    <t>车—船；车—场—船</t>
  </si>
  <si>
    <t>50%直接换装，非直取部分网络成组</t>
  </si>
  <si>
    <t>袋：100kg/袋</t>
  </si>
  <si>
    <t>卸车后网络成组</t>
  </si>
  <si>
    <t>捆：40-50kg/件</t>
  </si>
  <si>
    <t>直接过驳</t>
  </si>
  <si>
    <t>捆：2-10吨/件</t>
  </si>
  <si>
    <t>30%直接换装</t>
  </si>
  <si>
    <t>船—库—车</t>
  </si>
  <si>
    <t>10%拆箱后汽车疏运</t>
  </si>
  <si>
    <t>cargo_class</t>
  </si>
  <si>
    <t>operation</t>
  </si>
  <si>
    <t>option_id</t>
  </si>
  <si>
    <t>equipment</t>
  </si>
  <si>
    <t>labor</t>
  </si>
  <si>
    <t>efficiency_original</t>
  </si>
  <si>
    <t>efficiency_unit</t>
  </si>
  <si>
    <t>efficiency_tph</t>
  </si>
  <si>
    <t>machine_counts</t>
  </si>
  <si>
    <t>machine_work_factors</t>
  </si>
  <si>
    <t>note</t>
  </si>
  <si>
    <t>default_rank</t>
  </si>
  <si>
    <t>钢材_场_车_大叉车_K吊</t>
  </si>
  <si>
    <t>大叉车—K吊</t>
  </si>
  <si>
    <t>T/h</t>
  </si>
  <si>
    <t>{"大叉车": 1, "K吊": 1}</t>
  </si>
  <si>
    <t>{}</t>
  </si>
  <si>
    <t>钢材_场_车_门机</t>
  </si>
  <si>
    <t>门机</t>
  </si>
  <si>
    <t>{"门机": 1}</t>
  </si>
  <si>
    <t>钢材_场_车_万能机_K吊</t>
  </si>
  <si>
    <t>万能机—K吊</t>
  </si>
  <si>
    <t>{"万能机": 1, "K吊": 1}</t>
  </si>
  <si>
    <t>钢材_场_船_大叉车_门机</t>
  </si>
  <si>
    <t>大叉车—门机</t>
  </si>
  <si>
    <t>{"大叉车": 2, "门机": 1}</t>
  </si>
  <si>
    <t>2台大叉车</t>
  </si>
  <si>
    <t>钢材_场_船_K吊_牵引车_门机</t>
  </si>
  <si>
    <t>K吊—牵引车—门机</t>
  </si>
  <si>
    <t>{"K吊": 1, "拖头": 2, "门机": 1}</t>
  </si>
  <si>
    <t>2台牵引车</t>
  </si>
  <si>
    <t>钢材_船_车_门机</t>
  </si>
  <si>
    <t>钢材_船_场_门机_万能机</t>
  </si>
  <si>
    <t>门机—万能机</t>
  </si>
  <si>
    <t>{"门机": 1, "万能机": 2}</t>
  </si>
  <si>
    <t>2台万能机</t>
  </si>
  <si>
    <t>生铁_车场_电磁吸盘</t>
  </si>
  <si>
    <t>桥吊—电磁吸盘</t>
  </si>
  <si>
    <t>{"桥吊": 1}</t>
  </si>
  <si>
    <t>生铁_车场_柴吊</t>
  </si>
  <si>
    <t>人力—柴吊</t>
  </si>
  <si>
    <t>{"柴吊": 1}</t>
  </si>
  <si>
    <t>生铁_车场_万能机</t>
  </si>
  <si>
    <t>人力—万能机</t>
  </si>
  <si>
    <t>{"万能机": 1}</t>
  </si>
  <si>
    <t>生铁_场_船_K吊_牵引车_门机</t>
  </si>
  <si>
    <t>牵引托盘2组</t>
  </si>
  <si>
    <t>生铁_场_船_万能机_门机</t>
  </si>
  <si>
    <t>万能机—门机</t>
  </si>
  <si>
    <t>{"万能机": 2, "门机": 1}</t>
  </si>
  <si>
    <t>水泥_车_库_小叉车</t>
  </si>
  <si>
    <t>{"小叉车": 1}</t>
  </si>
  <si>
    <t>水泥_库_船_小叉车_万能机_门机</t>
  </si>
  <si>
    <t>小叉车—万能机—门机</t>
  </si>
  <si>
    <t>{"小叉车": 2, "万能机": 2, "门机": 1}</t>
  </si>
  <si>
    <t>小叉车/万能机各2台</t>
  </si>
  <si>
    <t>水泥_库_船_小叉车_船机</t>
  </si>
  <si>
    <t>小叉车—船机</t>
  </si>
  <si>
    <t>{"小叉车": 2}</t>
  </si>
  <si>
    <t>船机配合作业</t>
  </si>
  <si>
    <t>纯碱_车_场_万能机</t>
  </si>
  <si>
    <t>纯碱_场_船_柴吊_门机</t>
  </si>
  <si>
    <t>柴吊—门机</t>
  </si>
  <si>
    <t>{"柴吊": 2, "门机": 1}</t>
  </si>
  <si>
    <t>柴吊2台</t>
  </si>
  <si>
    <t>纯碱_场_船_K吊_牵引车_门机</t>
  </si>
  <si>
    <t>牵引车2组</t>
  </si>
  <si>
    <t>棉花_船_车_门机</t>
  </si>
  <si>
    <t>棉花_船_车_船机</t>
  </si>
  <si>
    <t>船机</t>
  </si>
  <si>
    <t>矿石_船_车_门机_抓斗</t>
  </si>
  <si>
    <t>门机—抓斗</t>
  </si>
  <si>
    <t>矿石_船_场_门机_抓斗</t>
  </si>
  <si>
    <t>{"门机": 1, "推扒机": 1}</t>
  </si>
  <si>
    <t>{"推扒机": 0.2}</t>
  </si>
  <si>
    <t>推扒机清仓量占20%</t>
  </si>
  <si>
    <t>矿石_场_车_大黄斗</t>
  </si>
  <si>
    <t>{"大黄斗": 1}</t>
  </si>
  <si>
    <t>矿石_场_车_万能斗</t>
  </si>
  <si>
    <t>万能斗</t>
  </si>
  <si>
    <t>海盐_车_船_门机</t>
  </si>
  <si>
    <t>海盐_车_场_K吊</t>
  </si>
  <si>
    <t>{"K吊": 1}</t>
  </si>
  <si>
    <t>海盐_场_船_K吊_牵引车_门机</t>
  </si>
  <si>
    <t>{"K吊": 1, "拖头": 4, "门机": 1}</t>
  </si>
  <si>
    <t>牵引车4组</t>
  </si>
  <si>
    <t>大米_车_库_小叉车</t>
  </si>
  <si>
    <t>大米_库_船_小叉车_门机</t>
  </si>
  <si>
    <t>小叉车—门机</t>
  </si>
  <si>
    <t>{"小叉车": 1, "门机": 1}</t>
  </si>
  <si>
    <t>大米_库_船_船机</t>
  </si>
  <si>
    <t>杂货_船_车_门机</t>
  </si>
  <si>
    <t>杂货_船_库_门机_牵引车_小叉车</t>
  </si>
  <si>
    <t>门机—牵引车—小叉车</t>
  </si>
  <si>
    <t>{"门机": 1, "拖头": 2, "小叉车": 1}</t>
  </si>
  <si>
    <t>杂货_库_车_小叉车</t>
  </si>
  <si>
    <t>集装箱_车_场_轮胎龙门吊</t>
  </si>
  <si>
    <t>轮胎龙门吊</t>
  </si>
  <si>
    <t>箱/h</t>
  </si>
  <si>
    <t>{"场桥": 1}</t>
  </si>
  <si>
    <t>最大码高三层</t>
  </si>
  <si>
    <t>集装箱_场_车_轮胎龙门吊</t>
  </si>
  <si>
    <t>集装箱_车_场_集装箱正面吊</t>
  </si>
  <si>
    <t>集装箱正面吊</t>
  </si>
  <si>
    <t>{"正面吊": 1}</t>
  </si>
  <si>
    <t>最大码高四层</t>
  </si>
  <si>
    <t>集装箱_场_车_集装箱正面吊</t>
  </si>
  <si>
    <t>集装箱_场船_跨运车</t>
  </si>
  <si>
    <t>跨运车—装卸桥</t>
  </si>
  <si>
    <t>{"跨运车": 2, "装卸桥": 1}</t>
  </si>
  <si>
    <t>2台跨运车</t>
  </si>
  <si>
    <t>集装箱_船场_跨运车</t>
  </si>
  <si>
    <t>集装箱_场船_拖挂</t>
  </si>
  <si>
    <t>龙门—牵引拖挂—装卸桥</t>
  </si>
  <si>
    <t>{"场桥": 1, "拖挂车": 3, "装卸桥": 1}</t>
  </si>
  <si>
    <t>3台牵引拖挂</t>
  </si>
  <si>
    <t>集装箱_船场_拖挂</t>
  </si>
  <si>
    <t>集装箱_场_船_龙门_牵引拖挂_船吊</t>
  </si>
  <si>
    <t>龙门—牵引拖挂—船吊</t>
  </si>
  <si>
    <t>{"场桥": 1, "拖挂车": 3}</t>
  </si>
  <si>
    <t>3台牵引拖挂，船吊起落</t>
  </si>
  <si>
    <t>集装箱_船_场_龙门_牵引拖挂_船吊</t>
  </si>
  <si>
    <t>集装箱_船库_跨运车</t>
  </si>
  <si>
    <t>2台跨运车，库区暂存</t>
  </si>
  <si>
    <t>集装箱_船库_拖挂</t>
  </si>
  <si>
    <t>3台牵引拖挂，库区暂存</t>
  </si>
  <si>
    <t>集装箱_船_库_龙门_牵引拖挂_船吊</t>
  </si>
  <si>
    <t>集装箱_库_车_轮胎龙门吊</t>
  </si>
  <si>
    <t>整箱库区疏运</t>
  </si>
  <si>
    <t>集装箱_库_车_集装箱正面吊</t>
  </si>
  <si>
    <t>橡胶_船_船_门机</t>
  </si>
  <si>
    <t>橡胶_船_船_船机</t>
  </si>
  <si>
    <t>机类</t>
  </si>
  <si>
    <t>起重量</t>
  </si>
  <si>
    <t>现有台数</t>
  </si>
  <si>
    <t>司机人数</t>
  </si>
  <si>
    <t>理论利用率</t>
  </si>
  <si>
    <t>10吨</t>
  </si>
  <si>
    <t>30.5吨</t>
  </si>
  <si>
    <t>10-15吨</t>
  </si>
  <si>
    <t>5-7.5吨</t>
  </si>
  <si>
    <t>20吨</t>
  </si>
  <si>
    <t>15吨</t>
  </si>
  <si>
    <t>3-5吨</t>
  </si>
  <si>
    <t>13吨</t>
  </si>
  <si>
    <t>5-10吨</t>
  </si>
  <si>
    <t>flow_id</t>
  </si>
  <si>
    <t>原始流向</t>
  </si>
  <si>
    <t>原始运量_万吨</t>
  </si>
  <si>
    <t>拆分比例</t>
  </si>
  <si>
    <t>拆分后货量_吨</t>
  </si>
  <si>
    <t>拆分后货量_万吨</t>
  </si>
  <si>
    <t>路径</t>
  </si>
  <si>
    <t>是否直接换装</t>
  </si>
  <si>
    <t>是否入库</t>
  </si>
  <si>
    <t>是否入场</t>
  </si>
  <si>
    <t>是否集装箱</t>
  </si>
  <si>
    <t>货类属性</t>
  </si>
  <si>
    <t>堆场分区</t>
  </si>
  <si>
    <t>处理标记</t>
  </si>
  <si>
    <t>F001</t>
  </si>
  <si>
    <t>F002</t>
  </si>
  <si>
    <t>电磁吸盘卸车</t>
  </si>
  <si>
    <t>电磁吸盘卸车60%，后续成组装船</t>
  </si>
  <si>
    <t>F003</t>
  </si>
  <si>
    <t>常规成组卸车</t>
  </si>
  <si>
    <t>非电磁吸盘部分按成组货处理</t>
  </si>
  <si>
    <t>F004</t>
  </si>
  <si>
    <t>F005</t>
  </si>
  <si>
    <t>F006</t>
  </si>
  <si>
    <t>F007</t>
  </si>
  <si>
    <t>F008</t>
  </si>
  <si>
    <t>船—场—车</t>
  </si>
  <si>
    <t>经堆场疏运</t>
  </si>
  <si>
    <t>F009</t>
  </si>
  <si>
    <t>直接换装，不成组</t>
  </si>
  <si>
    <t>F010</t>
  </si>
  <si>
    <t>入库部分全部货盘成组</t>
  </si>
  <si>
    <t>F011</t>
  </si>
  <si>
    <t>F012</t>
  </si>
  <si>
    <t>网络成组后装船</t>
  </si>
  <si>
    <t>F013</t>
  </si>
  <si>
    <t>F014</t>
  </si>
  <si>
    <t>F015</t>
  </si>
  <si>
    <t>F016</t>
  </si>
  <si>
    <t>F017</t>
  </si>
  <si>
    <t>F018</t>
  </si>
  <si>
    <t>整箱入库疏运</t>
  </si>
  <si>
    <t>任务书给定船—库—车，90%按整箱经库区疏运处理</t>
  </si>
  <si>
    <t>F019</t>
  </si>
  <si>
    <t>拆箱后汽车疏运</t>
  </si>
  <si>
    <t>任务书备注10%拆箱后汽车疏运，库—车边套用件杂货疏运工艺</t>
  </si>
  <si>
    <t>edge_id</t>
  </si>
  <si>
    <t>操作量_万吨</t>
  </si>
  <si>
    <t>机械总台时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</si>
  <si>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</si>
  <si>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</si>
  <si>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</si>
  <si>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</si>
  <si>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</si>
  <si>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</si>
  <si>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</si>
  <si>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</si>
  <si>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</si>
  <si>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</si>
  <si>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</si>
  <si>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</si>
  <si>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</si>
  <si>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</si>
  <si>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</si>
  <si>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</si>
  <si>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</si>
  <si>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</si>
  <si>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</si>
  <si>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</si>
  <si>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</si>
  <si>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</si>
  <si>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</si>
  <si>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</si>
  <si>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</si>
  <si>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</si>
  <si>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</si>
  <si>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</si>
  <si>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</si>
  <si>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</si>
  <si>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</si>
  <si>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</si>
  <si>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指标名称</t>
  </si>
  <si>
    <t>数值</t>
  </si>
  <si>
    <t>说明</t>
  </si>
  <si>
    <t>按计划期自然吨统计</t>
  </si>
  <si>
    <t>所有操作过程作业量之和</t>
  </si>
  <si>
    <t>按机种机械作业量累加</t>
  </si>
  <si>
    <t>操作量/吞吐量</t>
  </si>
  <si>
    <t>直接换装货量/总吞吐量</t>
  </si>
  <si>
    <t>机械化工序吨/总工序吨</t>
  </si>
  <si>
    <t>平均开工舱口数乘不平衡系数后取整</t>
  </si>
  <si>
    <t>平均车作业头数乘不平衡系数后取整</t>
  </si>
  <si>
    <t>总操作量/总作业工时</t>
  </si>
  <si>
    <t>船舶相关操作量/相关作业工时</t>
  </si>
  <si>
    <t>车辆相关操作量/相关作业工时</t>
  </si>
  <si>
    <t>吞吐量/装卸工人数</t>
  </si>
  <si>
    <t>操作量/装卸工人数</t>
  </si>
  <si>
    <t>船舶相关操作量/船舶相关作业小时</t>
  </si>
  <si>
    <t>车辆相关操作量/车辆相关作业小时</t>
  </si>
  <si>
    <t>车辆到达边操作量/60吨标准车</t>
  </si>
  <si>
    <t>车辆发出边操作量/60吨标准车</t>
  </si>
  <si>
    <t>环节</t>
  </si>
  <si>
    <t>需求量</t>
  </si>
  <si>
    <t>可供能力</t>
  </si>
  <si>
    <t>利用率</t>
  </si>
  <si>
    <t>泊位系统</t>
  </si>
  <si>
    <t>16个泊位×营运天数×昼夜小时×船边平均作业线效率×K利×(1-μ)</t>
  </si>
  <si>
    <t>A库×a库×K利×T库/t库</t>
  </si>
  <si>
    <t>A场前×a场×K利×T场/t场</t>
  </si>
  <si>
    <t>A场后×a场×K利×T场/t场</t>
  </si>
  <si>
    <t>装卸工人</t>
  </si>
  <si>
    <t>1000人×T场×n班×8小时×K出</t>
  </si>
  <si>
    <t>计划期所需台时</t>
  </si>
  <si>
    <t>单台可用台时</t>
  </si>
  <si>
    <t>总可用台时</t>
  </si>
  <si>
    <t>需要台数</t>
  </si>
  <si>
    <t>需要台数_取整</t>
  </si>
  <si>
    <t>机械利用率</t>
  </si>
  <si>
    <t>机械作业量_吨</t>
  </si>
  <si>
    <t>平均台时效率_t_h</t>
  </si>
  <si>
    <t>是否短缺</t>
  </si>
  <si>
    <t>是</t>
  </si>
  <si>
    <t>否</t>
  </si>
  <si>
    <t>资源类型</t>
  </si>
  <si>
    <t>资源名称</t>
  </si>
  <si>
    <t>资源利用率</t>
  </si>
  <si>
    <t>薄弱程度</t>
  </si>
  <si>
    <t>机械</t>
  </si>
  <si>
    <t>不足</t>
  </si>
  <si>
    <t>泊位</t>
  </si>
  <si>
    <t>临界</t>
  </si>
  <si>
    <t>偏高</t>
  </si>
  <si>
    <t>宽松</t>
  </si>
  <si>
    <t>人力</t>
  </si>
  <si>
    <t>现有能力</t>
  </si>
  <si>
    <t>缺口</t>
  </si>
  <si>
    <t>建议措施</t>
  </si>
  <si>
    <t>2台</t>
  </si>
  <si>
    <t>7.16台</t>
  </si>
  <si>
    <t>6台</t>
  </si>
  <si>
    <t>增配或调整工艺分流</t>
  </si>
  <si>
    <t>12台</t>
  </si>
  <si>
    <t>34.47台</t>
  </si>
  <si>
    <t>23台</t>
  </si>
  <si>
    <t>10台</t>
  </si>
  <si>
    <t>24.75台</t>
  </si>
  <si>
    <t>15台</t>
  </si>
  <si>
    <t>25台</t>
  </si>
  <si>
    <t>40.31台</t>
  </si>
  <si>
    <t>16台</t>
  </si>
  <si>
    <t>2.51台</t>
  </si>
  <si>
    <t>1台</t>
  </si>
  <si>
    <t>18.46台</t>
  </si>
  <si>
    <t>4台</t>
  </si>
  <si>
    <t>56.02万吨</t>
  </si>
  <si>
    <t>86.87万吨</t>
  </si>
  <si>
    <t>30.86万吨</t>
  </si>
  <si>
    <t>若面积不变，t库需降至11.6天；若堆存期不变，需增仓库约24787㎡</t>
  </si>
  <si>
    <t>147.0万吨</t>
  </si>
  <si>
    <t>257.52万吨</t>
  </si>
  <si>
    <t>110.52万吨</t>
  </si>
  <si>
    <t>若面积不变，t场需降至5.7天；若堆存期不变，需增堆场约22555㎡</t>
  </si>
  <si>
    <t>情景</t>
  </si>
  <si>
    <t>仓库利用率</t>
  </si>
  <si>
    <t>前方堆场利用率</t>
  </si>
  <si>
    <t>后方堆场利用率</t>
  </si>
  <si>
    <t>最高机械利用率</t>
  </si>
  <si>
    <t>总作业工时</t>
  </si>
  <si>
    <t>总机械台时</t>
  </si>
  <si>
    <t>初始方案</t>
  </si>
  <si>
    <t>情景A：直接换装+10pct</t>
  </si>
  <si>
    <t>情景B：堆存期缩短</t>
  </si>
  <si>
    <t>情景C：集装箱拖挂工艺</t>
  </si>
  <si>
    <t>MILP：工艺选择优化</t>
  </si>
  <si>
    <t>吞吐量(万吨)</t>
  </si>
  <si>
    <t>操作量(万吨)</t>
  </si>
  <si>
    <t>最高机械</t>
  </si>
  <si>
    <t>人力利用率</t>
  </si>
  <si>
    <t>500万吨校正口径</t>
  </si>
  <si>
    <t>表一原始419万吨口径</t>
  </si>
  <si>
    <t>初始配机</t>
  </si>
  <si>
    <t>优化配机</t>
  </si>
  <si>
    <t>初始效率(t/h)</t>
  </si>
  <si>
    <t>优化效率(t/h)</t>
  </si>
  <si>
    <t>是否调整</t>
  </si>
  <si>
    <t>操作边数量</t>
  </si>
  <si>
    <t>候选工艺数量</t>
  </si>
  <si>
    <t>二进制变量数量</t>
  </si>
  <si>
    <t>连续变量数量</t>
  </si>
  <si>
    <t>约束数量</t>
  </si>
  <si>
    <t>机械约束数量</t>
  </si>
  <si>
    <t>求解时间(s)</t>
  </si>
  <si>
    <t>MIPGap</t>
  </si>
  <si>
    <t>资源</t>
  </si>
  <si>
    <t>超载量</t>
  </si>
  <si>
    <t>机械_门机</t>
  </si>
  <si>
    <t>台时</t>
  </si>
  <si>
    <t>机械_桥吊</t>
  </si>
  <si>
    <t>机械_装卸桥</t>
  </si>
  <si>
    <t>机械_场桥</t>
  </si>
  <si>
    <t>机械_K吊</t>
  </si>
  <si>
    <t>机械_柴吊</t>
  </si>
  <si>
    <t>机械_正面吊</t>
  </si>
  <si>
    <t>机械_跨运车</t>
  </si>
  <si>
    <t>机械_拖挂车</t>
  </si>
  <si>
    <t>机械_万能机</t>
  </si>
  <si>
    <t>机械_大叉车</t>
  </si>
  <si>
    <t>机械_小叉车</t>
  </si>
  <si>
    <t>机械_大黄斗</t>
  </si>
  <si>
    <t>机械_拖头</t>
  </si>
  <si>
    <t>机械_推扒机</t>
  </si>
  <si>
    <t>吨</t>
  </si>
  <si>
    <t>库场_仓库</t>
  </si>
  <si>
    <t>库场_前方堆场</t>
  </si>
  <si>
    <t>库场_后方堆场</t>
  </si>
  <si>
    <t>工时</t>
  </si>
  <si>
    <t>status_code</t>
  </si>
  <si>
    <t>solution_count</t>
  </si>
  <si>
    <t>num_variables</t>
  </si>
  <si>
    <t>num_constraints</t>
  </si>
  <si>
    <t>model_scope</t>
  </si>
  <si>
    <t>objective_value</t>
  </si>
  <si>
    <t>max_original_resource_utilization_U</t>
  </si>
  <si>
    <t>total_added_equipment_units</t>
  </si>
  <si>
    <t>mip_gap</t>
  </si>
  <si>
    <t>mip_gap_note</t>
  </si>
  <si>
    <t>2</t>
  </si>
  <si>
    <t>8</t>
  </si>
  <si>
    <t>104</t>
  </si>
  <si>
    <t>132</t>
  </si>
  <si>
    <t>fixed routes/direct ratios; optimize y_ek and equipment augmentation z_m</t>
  </si>
  <si>
    <t>2.4540036484918586</t>
  </si>
  <si>
    <t>41.0</t>
  </si>
  <si>
    <t>MIPGap may be unavailable for this Gurobi multi-objective solve; use status_code and solution_count for primary feasibility check.</t>
  </si>
  <si>
    <t>resource_id</t>
  </si>
  <si>
    <t>resource_type</t>
  </si>
  <si>
    <t>resource_name</t>
  </si>
  <si>
    <t>demand</t>
  </si>
  <si>
    <t>original_capacity</t>
  </si>
  <si>
    <t>augmented_capacity</t>
  </si>
  <si>
    <t>unit</t>
  </si>
  <si>
    <t>original_utilization</t>
  </si>
  <si>
    <t>augmented_utilization</t>
  </si>
  <si>
    <t>original_overload</t>
  </si>
  <si>
    <t>remaining_overload_after_augmentation</t>
  </si>
  <si>
    <t>machine_万能机</t>
  </si>
  <si>
    <t>machine</t>
  </si>
  <si>
    <t>machine_拖头</t>
  </si>
  <si>
    <t>machine_拖挂车</t>
  </si>
  <si>
    <t>fixed_yard_前方堆场</t>
  </si>
  <si>
    <t>fixed_yard</t>
  </si>
  <si>
    <t>fixed_yard_仓库</t>
  </si>
  <si>
    <t>machine_装卸桥</t>
  </si>
  <si>
    <t>machine_跨运车</t>
  </si>
  <si>
    <t>machine_小叉车</t>
  </si>
  <si>
    <t>machine_门机</t>
  </si>
  <si>
    <t>machine_K吊</t>
  </si>
  <si>
    <t>machine_场桥</t>
  </si>
  <si>
    <t>machine_桥吊</t>
  </si>
  <si>
    <t>machine_推扒机</t>
  </si>
  <si>
    <t>machine_正面吊</t>
  </si>
  <si>
    <t>berth_ship_time</t>
  </si>
  <si>
    <t>berth</t>
  </si>
  <si>
    <t>泊位船边作业时间</t>
  </si>
  <si>
    <t>小时</t>
  </si>
  <si>
    <t>machine_大叉车</t>
  </si>
  <si>
    <t>machine_柴吊</t>
  </si>
  <si>
    <t>driver_万能机</t>
  </si>
  <si>
    <t>driver</t>
  </si>
  <si>
    <t>司机工时</t>
  </si>
  <si>
    <t>driver_拖头</t>
  </si>
  <si>
    <t>driver_拖挂车</t>
  </si>
  <si>
    <t>driver_装卸桥</t>
  </si>
  <si>
    <t>machine_大黄斗</t>
  </si>
  <si>
    <t>driver_门机</t>
  </si>
  <si>
    <t>driver_桥吊</t>
  </si>
  <si>
    <t>fixed_yard_后方堆场</t>
  </si>
  <si>
    <t>driver_跨运车</t>
  </si>
  <si>
    <t>driver_场桥</t>
  </si>
  <si>
    <t>driver_小叉车</t>
  </si>
  <si>
    <t>driver_K吊</t>
  </si>
  <si>
    <t>driver_推扒机</t>
  </si>
  <si>
    <t>driver_正面吊</t>
  </si>
  <si>
    <t>driver_大叉车</t>
  </si>
  <si>
    <t>driver_柴吊</t>
  </si>
  <si>
    <t>driver_大黄斗</t>
  </si>
  <si>
    <t>existing_units</t>
  </si>
  <si>
    <t>added_units_z_m</t>
  </si>
  <si>
    <t>units_after_augmentation</t>
  </si>
  <si>
    <t>machine_unit_available_hours</t>
  </si>
  <si>
    <t>driver_unit_available_hours</t>
  </si>
  <si>
    <t>machine_hour_demand</t>
  </si>
  <si>
    <t>driver_hour_demand</t>
  </si>
  <si>
    <t>candidate_id</t>
  </si>
  <si>
    <t>cargo</t>
  </si>
  <si>
    <t>work_hours</t>
  </si>
  <si>
    <t>labor_hours</t>
  </si>
  <si>
    <t>machine_hours_total</t>
  </si>
  <si>
    <t>is_default</t>
  </si>
  <si>
    <t>cand_0002</t>
  </si>
  <si>
    <t>cand_0003</t>
  </si>
  <si>
    <t>cand_0006</t>
  </si>
  <si>
    <t>cand_0007</t>
  </si>
  <si>
    <t>cand_0009</t>
  </si>
  <si>
    <t>cand_0010</t>
  </si>
  <si>
    <t>cand_0012</t>
  </si>
  <si>
    <t>cand_0014</t>
  </si>
  <si>
    <t>cand_0015</t>
  </si>
  <si>
    <t>cand_0016</t>
  </si>
  <si>
    <t>cand_0019</t>
  </si>
  <si>
    <t>cand_0020</t>
  </si>
  <si>
    <t>cand_0021</t>
  </si>
  <si>
    <t>cand_0022</t>
  </si>
  <si>
    <t>cand_0024</t>
  </si>
  <si>
    <t>cand_0025</t>
  </si>
  <si>
    <t>cand_0026</t>
  </si>
  <si>
    <t>cand_0027</t>
  </si>
  <si>
    <t>cand_0028</t>
  </si>
  <si>
    <t>cand_0029</t>
  </si>
  <si>
    <t>cand_0030</t>
  </si>
  <si>
    <t>cand_0032</t>
  </si>
  <si>
    <t>cand_0033</t>
  </si>
  <si>
    <t>cand_0036</t>
  </si>
  <si>
    <t>cand_0039</t>
  </si>
  <si>
    <t>cand_0040</t>
  </si>
  <si>
    <t>cand_0041</t>
  </si>
  <si>
    <t>cand_0042</t>
  </si>
  <si>
    <t>cand_0046</t>
  </si>
  <si>
    <t>cand_0048</t>
  </si>
  <si>
    <t>cand_0051</t>
  </si>
  <si>
    <t>cand_0053</t>
  </si>
  <si>
    <t>iterations</t>
  </si>
  <si>
    <t>max_resource_utilization</t>
  </si>
  <si>
    <t>overload_ratio</t>
  </si>
  <si>
    <t>total_machine_labor_hours</t>
  </si>
  <si>
    <t>capacity</t>
  </si>
  <si>
    <t>utilization</t>
  </si>
  <si>
    <t>overload</t>
  </si>
  <si>
    <t>edge_idx</t>
  </si>
  <si>
    <t>direction</t>
  </si>
  <si>
    <t>operation_qty_ton</t>
  </si>
  <si>
    <t>labor_count</t>
  </si>
  <si>
    <t>ship_hours</t>
  </si>
  <si>
    <t>machine_counts_json</t>
  </si>
  <si>
    <t>machine_hours_json</t>
  </si>
  <si>
    <t>driver_hours_json</t>
  </si>
  <si>
    <t>{"正面吊": 2784.4073190135236}</t>
  </si>
  <si>
    <t>cand_0004</t>
  </si>
  <si>
    <t>{"场桥": 2784.4073190135236, "拖挂车": 8353.22195704057, "装卸桥": 2784.4073190135236}</t>
  </si>
  <si>
    <t>{"场桥": 5568.814638027047, "拖挂车": 8353.22195704057, "装卸桥": 5568.814638027047}</t>
  </si>
  <si>
    <t>{"桥吊": 6443.9140811455845}</t>
  </si>
  <si>
    <t>{"桥吊": 12887.828162291169}</t>
  </si>
  <si>
    <t>{"K吊": 8054.89260143198, "拖头": 16109.78520286396, "门机": 8054.89260143198}</t>
  </si>
  <si>
    <t>{"K吊": 16109.78520286396, "拖头": 16109.78520286396, "门机": 16109.78520286396}</t>
  </si>
  <si>
    <t>{"万能机": 8591.885441527447}</t>
  </si>
  <si>
    <t>{"K吊": 5369.9284009546545, "拖头": 10739.856801909309, "门机": 5369.9284009546545}</t>
  </si>
  <si>
    <t>{"K吊": 10739.856801909309, "拖头": 10739.856801909309, "门机": 10739.856801909309}</t>
  </si>
  <si>
    <t>{"小叉车": 5114.217524718717}</t>
  </si>
  <si>
    <t>{"小叉车": 10228.435049437434}</t>
  </si>
  <si>
    <t>{"万能机": 3778.838504375497}</t>
  </si>
  <si>
    <t>{"柴吊": 9069.212410501194, "门机": 4534.606205250597}</t>
  </si>
  <si>
    <t>{"柴吊": 9069.212410501194, "门机": 9069.212410501194}</t>
  </si>
  <si>
    <t>{"门机": 3304.5713236644024}</t>
  </si>
  <si>
    <t>{"门机": 6609.142647328805}</t>
  </si>
  <si>
    <t>{"推扒机": 1, "门机": 1}</t>
  </si>
  <si>
    <t>{"推扒机": 3068.5305148312304, "门机": 3068.5305148312304}</t>
  </si>
  <si>
    <t>{"推扒机": 3068.5305148312304, "门机": 6137.061029662461}</t>
  </si>
  <si>
    <t>{"大黄斗": 1431.980906921241}</t>
  </si>
  <si>
    <t>{"门机": 1241.0501193317423}</t>
  </si>
  <si>
    <t>{"门机": 2482.1002386634846}</t>
  </si>
  <si>
    <t>{"小叉车": 1, "拖头": 2, "门机": 1}</t>
  </si>
  <si>
    <t>{"小叉车": 2659.393112853734, "拖头": 5318.786225707468, "门机": 2659.393112853734}</t>
  </si>
  <si>
    <t>{"小叉车": 2659.393112853734, "拖头": 5318.786225707468, "门机": 5318.786225707468}</t>
  </si>
  <si>
    <t>{"小叉车": 3723.1503579952273}</t>
  </si>
  <si>
    <t>{"门机": 1145.5847255369927}</t>
  </si>
  <si>
    <t>{"门机": 2291.1694510739853}</t>
  </si>
  <si>
    <t>{"K吊": 818.2748039549947}</t>
  </si>
  <si>
    <t>{"K吊": 1636.5496079099894}</t>
  </si>
  <si>
    <t>{"K吊": 715.9904534606204, "拖头": 2863.9618138424817, "门机": 715.9904534606204}</t>
  </si>
  <si>
    <t>{"K吊": 1431.9809069212408, "拖头": 2863.9618138424817, "门机": 1431.9809069212408}</t>
  </si>
  <si>
    <t>{"小叉车": 6137.061029662461}</t>
  </si>
  <si>
    <t>{"场桥": 1587.1121718377087}</t>
  </si>
  <si>
    <t>{"场桥": 3174.2243436754175}</t>
  </si>
  <si>
    <t>cand_0035</t>
  </si>
  <si>
    <t>{"装卸桥": 1, "跨运车": 2}</t>
  </si>
  <si>
    <t>{"装卸桥": 1587.1121718377087, "跨运车": 3174.2243436754175}</t>
  </si>
  <si>
    <t>{"装卸桥": 3174.2243436754175, "跨运车": 3174.2243436754175}</t>
  </si>
  <si>
    <t>{"门机": 10739.856801909305}</t>
  </si>
  <si>
    <t>{"门机": 21479.71360381861}</t>
  </si>
  <si>
    <t>{"万能机": 40095.46539379474, "门机": 20047.73269689737}</t>
  </si>
  <si>
    <t>{"万能机": 40095.46539379474, "门机": 40095.46539379474}</t>
  </si>
  <si>
    <t>{"K吊": 1, "大叉车": 1}</t>
  </si>
  <si>
    <t>{"K吊": 22275.25855210819, "大叉车": 22275.25855210819}</t>
  </si>
  <si>
    <t>{"K吊": 44550.51710421638, "大叉车": 22275.25855210819}</t>
  </si>
  <si>
    <t>cand_0045</t>
  </si>
  <si>
    <t>{"装卸桥": 1718.3770883054892, "跨运车": 3436.7541766109784}</t>
  </si>
  <si>
    <t>{"装卸桥": 3436.7541766109784, "跨运车": 3436.7541766109784}</t>
  </si>
  <si>
    <t>{"场桥": 1718.3770883054892}</t>
  </si>
  <si>
    <t>{"场桥": 3436.7541766109784}</t>
  </si>
  <si>
    <t>cand_0052</t>
  </si>
  <si>
    <t>{"场桥": 381.8615751789976, "拖挂车": 1145.584725536993}</t>
  </si>
  <si>
    <t>{"场桥": 763.7231503579952, "拖挂车": 1145.584725536993}</t>
  </si>
  <si>
    <t>{"小叉车": 1527.4463007159904}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</si>
</sst>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1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textRotation="255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/>
    <xf numFmtId="0" fontId="6" fillId="0" borderId="1" xfId="0" applyFont="1" applyBorder="1" applyAlignment="1">
      <alignment textRotation="255"/>
    </xf>
    <xf numFmtId="0" fontId="5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主要情景指标对比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图表数据!$B$1</c:f>
              <c:strCache>
                <c:ptCount val="1"/>
                <c:pt idx="0">
                  <c:v>操作系数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图表数据!$B$2:$B$6</c:f>
              <c:numCache>
                <c:formatCode>0.00</c:formatCode>
                <c:ptCount val="5"/>
                <c:pt idx="0">
                  <c:v>1.835799522673031</c:v>
                </c:pt>
                <c:pt idx="1">
                  <c:v>1.793794749403341</c:v>
                </c:pt>
                <c:pt idx="2">
                  <c:v>1.835799522673031</c:v>
                </c:pt>
                <c:pt idx="3">
                  <c:v>1.835799522673031</c:v>
                </c:pt>
                <c:pt idx="4">
                  <c:v>1.835799522673031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C-405F-A2C1-82CDAA930C79}"/>
            </c:ext>
          </c:extLst>
        </c:ser>
        <c:ser>
          <c:idx val="1"/>
          <c:order val="1"/>
          <c:tx>
            <c:strRef>
              <c:f>图表数据!$C$1</c:f>
              <c:strCache>
                <c:ptCount val="1"/>
                <c:pt idx="0">
                  <c:v>直接换装比重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图表数据!$C$2:$C$6</c:f>
              <c:numCache>
                <c:formatCode>0.00</c:formatCode>
                <c:ptCount val="5"/>
                <c:pt idx="0">
                  <c:v>0.16420047732696899</c:v>
                </c:pt>
                <c:pt idx="1">
                  <c:v>0.20620525059665859</c:v>
                </c:pt>
                <c:pt idx="2">
                  <c:v>0.16420047732696899</c:v>
                </c:pt>
                <c:pt idx="3">
                  <c:v>0.16420047732696899</c:v>
                </c:pt>
                <c:pt idx="4">
                  <c:v>0.16420047732696899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C-405F-A2C1-82CDAA930C79}"/>
            </c:ext>
          </c:extLst>
        </c:ser>
        <c:ser>
          <c:idx val="2"/>
          <c:order val="2"/>
          <c:tx>
            <c:strRef>
              <c:f>图表数据!$D$1</c:f>
              <c:strCache>
                <c:ptCount val="1"/>
                <c:pt idx="0">
                  <c:v>仓库利用率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图表数据!$D$2:$D$6</c:f>
              <c:numCache>
                <c:formatCode>0.00</c:formatCode>
                <c:ptCount val="5"/>
                <c:pt idx="0">
                  <c:v>1.5508280154098619</c:v>
                </c:pt>
                <c:pt idx="1">
                  <c:v>1.528673329475436</c:v>
                </c:pt>
                <c:pt idx="2">
                  <c:v>1.3785137914754331</c:v>
                </c:pt>
                <c:pt idx="3">
                  <c:v>1.5508280154098619</c:v>
                </c:pt>
                <c:pt idx="4">
                  <c:v>1.5508280154098619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C-405F-A2C1-82CDAA930C79}"/>
            </c:ext>
          </c:extLst>
        </c:ser>
        <c:ser>
          <c:idx val="3"/>
          <c:order val="3"/>
          <c:tx>
            <c:strRef>
              <c:f>图表数据!$E$1</c:f>
              <c:strCache>
                <c:ptCount val="1"/>
                <c:pt idx="0">
                  <c:v>前方堆场利用率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图表数据!$E$2:$E$6</c:f>
              <c:numCache>
                <c:formatCode>0.00</c:formatCode>
                <c:ptCount val="5"/>
                <c:pt idx="0">
                  <c:v>1.75182244735603</c:v>
                </c:pt>
                <c:pt idx="1">
                  <c:v>1.6173915867062809</c:v>
                </c:pt>
                <c:pt idx="2">
                  <c:v>1.4014579578848241</c:v>
                </c:pt>
                <c:pt idx="3">
                  <c:v>1.75182244735603</c:v>
                </c:pt>
                <c:pt idx="4">
                  <c:v>1.75182244735603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C-405F-A2C1-82CDAA930C79}"/>
            </c:ext>
          </c:extLst>
        </c:ser>
        <c:ser>
          <c:idx val="4"/>
          <c:order val="4"/>
          <c:tx>
            <c:strRef>
              <c:f>图表数据!$F$1</c:f>
              <c:strCache>
                <c:ptCount val="1"/>
                <c:pt idx="0">
                  <c:v>后方堆场利用率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图表数据!$F$2:$F$6</c:f>
              <c:numCache>
                <c:formatCode>0.00</c:formatCode>
                <c:ptCount val="5"/>
                <c:pt idx="0">
                  <c:v>0.30003409478349807</c:v>
                </c:pt>
                <c:pt idx="1">
                  <c:v>0.30003409478349807</c:v>
                </c:pt>
                <c:pt idx="2">
                  <c:v>0.2400272758267985</c:v>
                </c:pt>
                <c:pt idx="3">
                  <c:v>0.30003409478349807</c:v>
                </c:pt>
                <c:pt idx="4">
                  <c:v>0.30003409478349807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BC-405F-A2C1-82CDAA930C79}"/>
            </c:ext>
          </c:extLst>
        </c:ser>
        <c:ser>
          <c:idx val="5"/>
          <c:order val="5"/>
          <c:tx>
            <c:strRef>
              <c:f>图表数据!$G$1</c:f>
              <c:strCache>
                <c:ptCount val="1"/>
                <c:pt idx="0">
                  <c:v>最高机械利用率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图表数据!$A$2:$A$6</c:f>
              <c:strCache>
                <c:ptCount val="5"/>
                <c:pt idx="0">
                  <c:v>初始方案</c:v>
                </c:pt>
                <c:pt idx="1">
                  <c:v>情景A：直接换装+10pct</c:v>
                </c:pt>
                <c:pt idx="2">
                  <c:v>情景B：堆存期缩短</c:v>
                </c:pt>
                <c:pt idx="3">
                  <c:v>情景C：集装箱拖挂工艺</c:v>
                </c:pt>
                <c:pt idx="4">
                  <c:v>MILP：工艺选择优化</c:v>
                </c:pt>
              </c:strCache>
            </c:strRef>
          </c:cat>
          <c:val>
            <c:numRef>
              <c:f>图表数据!$G$2:$G$6</c:f>
              <c:numCache>
                <c:formatCode>0.00</c:formatCode>
                <c:ptCount val="5"/>
                <c:pt idx="0">
                  <c:v>3.5820125663630611</c:v>
                </c:pt>
                <c:pt idx="1">
                  <c:v>3.5820125663630611</c:v>
                </c:pt>
                <c:pt idx="2">
                  <c:v>3.5820125663630611</c:v>
                </c:pt>
                <c:pt idx="3">
                  <c:v>3.1342609955676779</c:v>
                </c:pt>
                <c:pt idx="4">
                  <c:v>2.453757272764582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BC-405F-A2C1-82CDAA930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情景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指标值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38"/>
  <sheetViews>
    <sheetView tabSelected="1" zoomScale="70" zoomScaleNormal="70" workbookViewId="0">
      <pane ySplit="4" topLeftCell="A17" activePane="bottomLeft" state="frozen"/>
      <selection pane="bottomLeft" activeCell="J24" sqref="J24"/>
    </sheetView>
  </sheetViews>
  <sheetFormatPr defaultColWidth="9" defaultRowHeight="14" x14ac:dyDescent="0.25"/>
  <cols>
    <col min="1" max="3" width="13" customWidth="1"/>
    <col min="4" max="4" width="16" customWidth="1"/>
    <col min="5" max="5" width="13" customWidth="1"/>
    <col min="6" max="6" width="14" customWidth="1"/>
    <col min="7" max="49" width="13" customWidth="1"/>
    <col min="50" max="50" width="28" customWidth="1"/>
  </cols>
  <sheetData>
    <row r="1" spans="1:49" ht="45.5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8"/>
    </row>
    <row r="2" spans="1:49" ht="23" x14ac:dyDescent="0.4">
      <c r="A2" s="9" t="s">
        <v>1</v>
      </c>
      <c r="B2" s="7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 t="s">
        <v>2</v>
      </c>
      <c r="AV2" s="7"/>
      <c r="AW2" s="8"/>
    </row>
    <row r="3" spans="1:49" s="1" customFormat="1" ht="26" customHeight="1" x14ac:dyDescent="0.4">
      <c r="A3" s="12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3" t="s">
        <v>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13" t="s">
        <v>14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/>
      <c r="AQ3" s="14" t="s">
        <v>15</v>
      </c>
      <c r="AR3" s="14" t="s">
        <v>16</v>
      </c>
      <c r="AS3" s="14" t="s">
        <v>17</v>
      </c>
      <c r="AT3" s="13" t="s">
        <v>18</v>
      </c>
      <c r="AU3" s="7"/>
      <c r="AV3" s="8"/>
      <c r="AW3" s="15" t="s">
        <v>19</v>
      </c>
    </row>
    <row r="4" spans="1:49" s="1" customFormat="1" ht="73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7" t="s">
        <v>20</v>
      </c>
      <c r="L4" s="17" t="s">
        <v>21</v>
      </c>
      <c r="M4" s="17" t="s">
        <v>22</v>
      </c>
      <c r="N4" s="17" t="s">
        <v>23</v>
      </c>
      <c r="O4" s="17" t="s">
        <v>24</v>
      </c>
      <c r="P4" s="17" t="s">
        <v>25</v>
      </c>
      <c r="Q4" s="17" t="s">
        <v>26</v>
      </c>
      <c r="R4" s="17" t="s">
        <v>27</v>
      </c>
      <c r="S4" s="17" t="s">
        <v>28</v>
      </c>
      <c r="T4" s="17" t="s">
        <v>29</v>
      </c>
      <c r="U4" s="17" t="s">
        <v>30</v>
      </c>
      <c r="V4" s="17" t="s">
        <v>31</v>
      </c>
      <c r="W4" s="17" t="s">
        <v>32</v>
      </c>
      <c r="X4" s="17" t="s">
        <v>33</v>
      </c>
      <c r="Y4" s="17" t="s">
        <v>34</v>
      </c>
      <c r="Z4" s="17" t="s">
        <v>35</v>
      </c>
      <c r="AA4" s="17" t="s">
        <v>20</v>
      </c>
      <c r="AB4" s="17" t="s">
        <v>21</v>
      </c>
      <c r="AC4" s="17" t="s">
        <v>22</v>
      </c>
      <c r="AD4" s="17" t="s">
        <v>23</v>
      </c>
      <c r="AE4" s="17" t="s">
        <v>24</v>
      </c>
      <c r="AF4" s="17" t="s">
        <v>25</v>
      </c>
      <c r="AG4" s="17" t="s">
        <v>26</v>
      </c>
      <c r="AH4" s="17" t="s">
        <v>27</v>
      </c>
      <c r="AI4" s="17" t="s">
        <v>28</v>
      </c>
      <c r="AJ4" s="17" t="s">
        <v>29</v>
      </c>
      <c r="AK4" s="17" t="s">
        <v>30</v>
      </c>
      <c r="AL4" s="17" t="s">
        <v>31</v>
      </c>
      <c r="AM4" s="17" t="s">
        <v>32</v>
      </c>
      <c r="AN4" s="17" t="s">
        <v>33</v>
      </c>
      <c r="AO4" s="17" t="s">
        <v>34</v>
      </c>
      <c r="AP4" s="17" t="s">
        <v>35</v>
      </c>
      <c r="AQ4" s="16"/>
      <c r="AR4" s="16"/>
      <c r="AS4" s="16"/>
      <c r="AT4" s="17" t="s">
        <v>36</v>
      </c>
      <c r="AU4" s="17" t="s">
        <v>37</v>
      </c>
      <c r="AV4" s="17" t="s">
        <v>38</v>
      </c>
      <c r="AW4" s="16"/>
    </row>
    <row r="5" spans="1:49" ht="35" customHeight="1" x14ac:dyDescent="0.4">
      <c r="A5" s="18" t="s">
        <v>39</v>
      </c>
      <c r="B5" s="18" t="s">
        <v>40</v>
      </c>
      <c r="C5" s="18">
        <v>41.766100000000002</v>
      </c>
      <c r="D5" s="18" t="s">
        <v>41</v>
      </c>
      <c r="E5" s="18">
        <v>41.766100000000002</v>
      </c>
      <c r="F5" s="18" t="s">
        <v>42</v>
      </c>
      <c r="G5" s="18">
        <v>2088.3054892601431</v>
      </c>
      <c r="H5" s="18">
        <v>2</v>
      </c>
      <c r="I5" s="18">
        <v>4176.6109785202852</v>
      </c>
      <c r="J5" s="18">
        <v>100</v>
      </c>
      <c r="K5" s="18"/>
      <c r="L5" s="18"/>
      <c r="M5" s="18"/>
      <c r="N5" s="18"/>
      <c r="O5" s="18">
        <v>41.766100000000002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>
        <v>41.766100000000002</v>
      </c>
      <c r="AA5" s="18"/>
      <c r="AB5" s="18"/>
      <c r="AC5" s="18"/>
      <c r="AD5" s="18"/>
      <c r="AE5" s="18">
        <v>2088.3054892601431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>
        <v>2088.3054892601431</v>
      </c>
      <c r="AQ5" s="18" t="s">
        <v>43</v>
      </c>
      <c r="AR5" s="18">
        <v>41.766100000000002</v>
      </c>
      <c r="AS5" s="18">
        <v>41.766100000000002</v>
      </c>
      <c r="AT5" s="18" t="s">
        <v>44</v>
      </c>
      <c r="AU5" s="18" t="s">
        <v>45</v>
      </c>
      <c r="AV5" s="18">
        <v>500</v>
      </c>
      <c r="AW5" s="18" t="s">
        <v>46</v>
      </c>
    </row>
    <row r="6" spans="1:49" ht="35" customHeight="1" x14ac:dyDescent="0.4">
      <c r="A6" s="18" t="s">
        <v>39</v>
      </c>
      <c r="B6" s="18" t="s">
        <v>40</v>
      </c>
      <c r="C6" s="18">
        <v>41.766100000000002</v>
      </c>
      <c r="D6" s="18" t="s">
        <v>47</v>
      </c>
      <c r="E6" s="18">
        <v>41.766100000000002</v>
      </c>
      <c r="F6" s="18" t="s">
        <v>42</v>
      </c>
      <c r="G6" s="18">
        <v>2088.3054892601431</v>
      </c>
      <c r="H6" s="18">
        <v>7</v>
      </c>
      <c r="I6" s="18">
        <v>14618.138424821</v>
      </c>
      <c r="J6" s="18">
        <v>28.571428571428569</v>
      </c>
      <c r="K6" s="18"/>
      <c r="L6" s="18">
        <v>41.766100000000002</v>
      </c>
      <c r="M6" s="18"/>
      <c r="N6" s="18"/>
      <c r="O6" s="18"/>
      <c r="P6" s="18"/>
      <c r="Q6" s="18">
        <v>41.766100000000002</v>
      </c>
      <c r="R6" s="18"/>
      <c r="S6" s="18"/>
      <c r="T6" s="18"/>
      <c r="U6" s="18"/>
      <c r="V6" s="18"/>
      <c r="W6" s="18"/>
      <c r="X6" s="18"/>
      <c r="Y6" s="18"/>
      <c r="Z6" s="18">
        <v>83.532200000000003</v>
      </c>
      <c r="AA6" s="18"/>
      <c r="AB6" s="18">
        <v>2088.3054892601431</v>
      </c>
      <c r="AC6" s="18"/>
      <c r="AD6" s="18"/>
      <c r="AE6" s="18"/>
      <c r="AF6" s="18"/>
      <c r="AG6" s="18">
        <v>4176.6109785202852</v>
      </c>
      <c r="AH6" s="18"/>
      <c r="AI6" s="18"/>
      <c r="AJ6" s="18"/>
      <c r="AK6" s="18"/>
      <c r="AL6" s="18"/>
      <c r="AM6" s="18"/>
      <c r="AN6" s="18"/>
      <c r="AO6" s="18"/>
      <c r="AP6" s="18">
        <v>6264.9164677804274</v>
      </c>
      <c r="AQ6" s="18"/>
      <c r="AR6" s="18">
        <v>83.532200000000003</v>
      </c>
      <c r="AS6" s="18">
        <v>41.766100000000002</v>
      </c>
      <c r="AT6" s="18" t="s">
        <v>7</v>
      </c>
      <c r="AU6" s="18" t="s">
        <v>45</v>
      </c>
      <c r="AV6" s="18">
        <v>917.9</v>
      </c>
      <c r="AW6" s="18" t="s">
        <v>48</v>
      </c>
    </row>
    <row r="7" spans="1:49" ht="35" customHeight="1" x14ac:dyDescent="0.4">
      <c r="A7" s="18" t="s">
        <v>39</v>
      </c>
      <c r="B7" s="18" t="s">
        <v>49</v>
      </c>
      <c r="C7" s="18">
        <v>64.439099999999996</v>
      </c>
      <c r="D7" s="18" t="s">
        <v>41</v>
      </c>
      <c r="E7" s="18">
        <v>64.439099999999996</v>
      </c>
      <c r="F7" s="18" t="s">
        <v>50</v>
      </c>
      <c r="G7" s="18">
        <v>6443.9140811455854</v>
      </c>
      <c r="H7" s="18">
        <v>3</v>
      </c>
      <c r="I7" s="18">
        <v>19331.742243436751</v>
      </c>
      <c r="J7" s="18">
        <v>33.333333333333329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>
        <v>64.439099999999996</v>
      </c>
      <c r="Z7" s="18">
        <v>64.439099999999996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>
        <v>6443.9140811455854</v>
      </c>
      <c r="AP7" s="18">
        <v>6443.9140811455854</v>
      </c>
      <c r="AQ7" s="18" t="s">
        <v>51</v>
      </c>
      <c r="AR7" s="18">
        <v>64.439099999999996</v>
      </c>
      <c r="AS7" s="18">
        <v>64.439099999999996</v>
      </c>
      <c r="AT7" s="18" t="s">
        <v>52</v>
      </c>
      <c r="AU7" s="18" t="s">
        <v>45</v>
      </c>
      <c r="AV7" s="18">
        <v>1481.62</v>
      </c>
      <c r="AW7" s="18" t="s">
        <v>53</v>
      </c>
    </row>
    <row r="8" spans="1:49" ht="35" customHeight="1" x14ac:dyDescent="0.4">
      <c r="A8" s="18" t="s">
        <v>39</v>
      </c>
      <c r="B8" s="18" t="s">
        <v>49</v>
      </c>
      <c r="C8" s="18">
        <v>64.439099999999996</v>
      </c>
      <c r="D8" s="18" t="s">
        <v>47</v>
      </c>
      <c r="E8" s="18">
        <v>64.439099999999996</v>
      </c>
      <c r="F8" s="18" t="s">
        <v>54</v>
      </c>
      <c r="G8" s="18">
        <v>8054.8926014319804</v>
      </c>
      <c r="H8" s="18">
        <v>9</v>
      </c>
      <c r="I8" s="18">
        <v>72494.033412887831</v>
      </c>
      <c r="J8" s="18">
        <v>8.8888888888888875</v>
      </c>
      <c r="K8" s="18">
        <v>64.439099999999996</v>
      </c>
      <c r="L8" s="18"/>
      <c r="M8" s="18">
        <v>64.439099999999996</v>
      </c>
      <c r="N8" s="18"/>
      <c r="O8" s="18"/>
      <c r="P8" s="18"/>
      <c r="Q8" s="18"/>
      <c r="R8" s="18"/>
      <c r="S8" s="18"/>
      <c r="T8" s="18"/>
      <c r="U8" s="18"/>
      <c r="V8" s="18"/>
      <c r="W8" s="18">
        <v>64.439099999999996</v>
      </c>
      <c r="X8" s="18"/>
      <c r="Y8" s="18"/>
      <c r="Z8" s="18">
        <v>193.31739999999999</v>
      </c>
      <c r="AA8" s="18">
        <v>8054.8926014319804</v>
      </c>
      <c r="AB8" s="18"/>
      <c r="AC8" s="18">
        <v>8054.8926014319804</v>
      </c>
      <c r="AD8" s="18"/>
      <c r="AE8" s="18"/>
      <c r="AF8" s="18"/>
      <c r="AG8" s="18"/>
      <c r="AH8" s="18"/>
      <c r="AI8" s="18"/>
      <c r="AJ8" s="18"/>
      <c r="AK8" s="18"/>
      <c r="AL8" s="18"/>
      <c r="AM8" s="18">
        <v>16109.785202863961</v>
      </c>
      <c r="AN8" s="18"/>
      <c r="AO8" s="18"/>
      <c r="AP8" s="18">
        <v>32219.570405727922</v>
      </c>
      <c r="AQ8" s="18"/>
      <c r="AR8" s="18">
        <v>193.31739999999999</v>
      </c>
      <c r="AS8" s="18">
        <v>64.439099999999996</v>
      </c>
      <c r="AT8" s="18" t="s">
        <v>55</v>
      </c>
      <c r="AU8" s="18" t="s">
        <v>56</v>
      </c>
      <c r="AV8" s="18">
        <v>1.835799522673031</v>
      </c>
      <c r="AW8" s="18" t="s">
        <v>57</v>
      </c>
    </row>
    <row r="9" spans="1:49" ht="35" customHeight="1" x14ac:dyDescent="0.4">
      <c r="A9" s="18" t="s">
        <v>39</v>
      </c>
      <c r="B9" s="18" t="s">
        <v>49</v>
      </c>
      <c r="C9" s="18">
        <v>42.959400000000002</v>
      </c>
      <c r="D9" s="18" t="s">
        <v>41</v>
      </c>
      <c r="E9" s="18">
        <v>42.959400000000002</v>
      </c>
      <c r="F9" s="18" t="s">
        <v>58</v>
      </c>
      <c r="G9" s="18">
        <v>8591.8854415274473</v>
      </c>
      <c r="H9" s="18">
        <v>6</v>
      </c>
      <c r="I9" s="18">
        <v>51551.312649164684</v>
      </c>
      <c r="J9" s="18">
        <v>8.3333333333333339</v>
      </c>
      <c r="K9" s="18"/>
      <c r="L9" s="18"/>
      <c r="M9" s="18"/>
      <c r="N9" s="18"/>
      <c r="O9" s="18"/>
      <c r="P9" s="18"/>
      <c r="Q9" s="18"/>
      <c r="R9" s="18"/>
      <c r="S9" s="18">
        <v>42.959400000000002</v>
      </c>
      <c r="T9" s="18"/>
      <c r="U9" s="18"/>
      <c r="V9" s="18"/>
      <c r="W9" s="18"/>
      <c r="X9" s="18"/>
      <c r="Y9" s="18"/>
      <c r="Z9" s="18">
        <v>42.959400000000002</v>
      </c>
      <c r="AA9" s="18"/>
      <c r="AB9" s="18"/>
      <c r="AC9" s="18"/>
      <c r="AD9" s="18"/>
      <c r="AE9" s="18"/>
      <c r="AF9" s="18"/>
      <c r="AG9" s="18"/>
      <c r="AH9" s="18"/>
      <c r="AI9" s="18">
        <v>8591.8854415274473</v>
      </c>
      <c r="AJ9" s="18"/>
      <c r="AK9" s="18"/>
      <c r="AL9" s="18"/>
      <c r="AM9" s="18"/>
      <c r="AN9" s="18"/>
      <c r="AO9" s="18"/>
      <c r="AP9" s="18">
        <v>8591.8854415274473</v>
      </c>
      <c r="AQ9" s="18" t="s">
        <v>51</v>
      </c>
      <c r="AR9" s="18">
        <v>42.959400000000002</v>
      </c>
      <c r="AS9" s="18">
        <v>42.959400000000002</v>
      </c>
      <c r="AT9" s="18" t="s">
        <v>59</v>
      </c>
      <c r="AU9" s="18" t="s">
        <v>60</v>
      </c>
      <c r="AV9" s="18">
        <v>0.16420047732696899</v>
      </c>
      <c r="AW9" s="18" t="s">
        <v>61</v>
      </c>
    </row>
    <row r="10" spans="1:49" ht="35" customHeight="1" x14ac:dyDescent="0.4">
      <c r="A10" s="18" t="s">
        <v>39</v>
      </c>
      <c r="B10" s="18" t="s">
        <v>49</v>
      </c>
      <c r="C10" s="18">
        <v>42.959400000000002</v>
      </c>
      <c r="D10" s="18" t="s">
        <v>47</v>
      </c>
      <c r="E10" s="18">
        <v>42.959400000000002</v>
      </c>
      <c r="F10" s="18" t="s">
        <v>54</v>
      </c>
      <c r="G10" s="18">
        <v>5369.9284009546554</v>
      </c>
      <c r="H10" s="18">
        <v>9</v>
      </c>
      <c r="I10" s="18">
        <v>48329.35560859189</v>
      </c>
      <c r="J10" s="18">
        <v>8.8888888888888893</v>
      </c>
      <c r="K10" s="18">
        <v>42.959400000000002</v>
      </c>
      <c r="L10" s="18"/>
      <c r="M10" s="18">
        <v>42.959400000000002</v>
      </c>
      <c r="N10" s="18"/>
      <c r="O10" s="18"/>
      <c r="P10" s="18"/>
      <c r="Q10" s="18"/>
      <c r="R10" s="18"/>
      <c r="S10" s="18"/>
      <c r="T10" s="18"/>
      <c r="U10" s="18"/>
      <c r="V10" s="18"/>
      <c r="W10" s="18">
        <v>42.959400000000002</v>
      </c>
      <c r="X10" s="18"/>
      <c r="Y10" s="18"/>
      <c r="Z10" s="18">
        <v>128.8783</v>
      </c>
      <c r="AA10" s="18">
        <v>5369.9284009546554</v>
      </c>
      <c r="AB10" s="18"/>
      <c r="AC10" s="18">
        <v>5369.9284009546554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>
        <v>10739.856801909311</v>
      </c>
      <c r="AN10" s="18"/>
      <c r="AO10" s="18"/>
      <c r="AP10" s="18">
        <v>21479.713603818622</v>
      </c>
      <c r="AQ10" s="18"/>
      <c r="AR10" s="18">
        <v>128.8783</v>
      </c>
      <c r="AS10" s="18">
        <v>42.959400000000002</v>
      </c>
      <c r="AT10" s="18" t="s">
        <v>62</v>
      </c>
      <c r="AU10" s="18" t="s">
        <v>60</v>
      </c>
      <c r="AV10" s="18">
        <v>1</v>
      </c>
      <c r="AW10" s="18" t="s">
        <v>63</v>
      </c>
    </row>
    <row r="11" spans="1:49" ht="35" customHeight="1" x14ac:dyDescent="0.4">
      <c r="A11" s="18" t="s">
        <v>39</v>
      </c>
      <c r="B11" s="18" t="s">
        <v>64</v>
      </c>
      <c r="C11" s="18">
        <v>17.899799999999999</v>
      </c>
      <c r="D11" s="18" t="s">
        <v>65</v>
      </c>
      <c r="E11" s="18">
        <v>17.899799999999999</v>
      </c>
      <c r="F11" s="18" t="s">
        <v>66</v>
      </c>
      <c r="G11" s="18">
        <v>5114.217524718717</v>
      </c>
      <c r="H11" s="18">
        <v>8</v>
      </c>
      <c r="I11" s="18">
        <v>40913.740197749743</v>
      </c>
      <c r="J11" s="18">
        <v>4.375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>
        <v>17.899799999999999</v>
      </c>
      <c r="V11" s="18"/>
      <c r="W11" s="18"/>
      <c r="X11" s="18"/>
      <c r="Y11" s="18"/>
      <c r="Z11" s="18">
        <v>17.899799999999999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>
        <v>5114.217524718717</v>
      </c>
      <c r="AL11" s="18"/>
      <c r="AM11" s="18"/>
      <c r="AN11" s="18"/>
      <c r="AO11" s="18"/>
      <c r="AP11" s="18">
        <v>5114.217524718717</v>
      </c>
      <c r="AQ11" s="18" t="s">
        <v>67</v>
      </c>
      <c r="AR11" s="18">
        <v>17.899799999999999</v>
      </c>
      <c r="AS11" s="18">
        <v>17.899799999999999</v>
      </c>
      <c r="AT11" s="18" t="s">
        <v>68</v>
      </c>
      <c r="AU11" s="18" t="s">
        <v>69</v>
      </c>
      <c r="AV11" s="18">
        <v>20</v>
      </c>
      <c r="AW11" s="18" t="s">
        <v>70</v>
      </c>
    </row>
    <row r="12" spans="1:49" ht="35" customHeight="1" x14ac:dyDescent="0.4">
      <c r="A12" s="18" t="s">
        <v>39</v>
      </c>
      <c r="B12" s="18" t="s">
        <v>64</v>
      </c>
      <c r="C12" s="18">
        <v>17.899799999999999</v>
      </c>
      <c r="D12" s="18" t="s">
        <v>71</v>
      </c>
      <c r="E12" s="18">
        <v>17.899799999999999</v>
      </c>
      <c r="F12" s="18" t="s">
        <v>72</v>
      </c>
      <c r="G12" s="18">
        <v>4474.9403341288771</v>
      </c>
      <c r="H12" s="18">
        <v>15</v>
      </c>
      <c r="I12" s="18">
        <v>67124.105011933163</v>
      </c>
      <c r="J12" s="18">
        <v>2.666666666666667</v>
      </c>
      <c r="K12" s="18">
        <v>17.899799999999999</v>
      </c>
      <c r="L12" s="18"/>
      <c r="M12" s="18"/>
      <c r="N12" s="18"/>
      <c r="O12" s="18"/>
      <c r="P12" s="18"/>
      <c r="Q12" s="18"/>
      <c r="R12" s="18"/>
      <c r="S12" s="18">
        <v>17.899799999999999</v>
      </c>
      <c r="T12" s="18"/>
      <c r="U12" s="18">
        <v>17.899799999999999</v>
      </c>
      <c r="V12" s="18"/>
      <c r="W12" s="18"/>
      <c r="X12" s="18"/>
      <c r="Y12" s="18"/>
      <c r="Z12" s="18">
        <v>53.699300000000001</v>
      </c>
      <c r="AA12" s="18">
        <v>4474.9403341288771</v>
      </c>
      <c r="AB12" s="18"/>
      <c r="AC12" s="18"/>
      <c r="AD12" s="18"/>
      <c r="AE12" s="18"/>
      <c r="AF12" s="18"/>
      <c r="AG12" s="18"/>
      <c r="AH12" s="18"/>
      <c r="AI12" s="18">
        <v>8949.8806682577542</v>
      </c>
      <c r="AJ12" s="18"/>
      <c r="AK12" s="18">
        <v>8949.8806682577542</v>
      </c>
      <c r="AL12" s="18"/>
      <c r="AM12" s="18"/>
      <c r="AN12" s="18"/>
      <c r="AO12" s="18"/>
      <c r="AP12" s="18">
        <v>22374.701670644379</v>
      </c>
      <c r="AQ12" s="18"/>
      <c r="AR12" s="18">
        <v>53.699300000000001</v>
      </c>
      <c r="AS12" s="18">
        <v>17.899799999999999</v>
      </c>
      <c r="AT12" s="18" t="s">
        <v>73</v>
      </c>
      <c r="AU12" s="18" t="s">
        <v>74</v>
      </c>
      <c r="AV12" s="18">
        <v>19</v>
      </c>
      <c r="AW12" s="18" t="s">
        <v>75</v>
      </c>
    </row>
    <row r="13" spans="1:49" ht="35" customHeight="1" x14ac:dyDescent="0.4">
      <c r="A13" s="18" t="s">
        <v>39</v>
      </c>
      <c r="B13" s="18" t="s">
        <v>76</v>
      </c>
      <c r="C13" s="18">
        <v>22.672999999999998</v>
      </c>
      <c r="D13" s="18" t="s">
        <v>41</v>
      </c>
      <c r="E13" s="18">
        <v>22.672999999999998</v>
      </c>
      <c r="F13" s="18" t="s">
        <v>77</v>
      </c>
      <c r="G13" s="18">
        <v>3778.838504375497</v>
      </c>
      <c r="H13" s="18">
        <v>4</v>
      </c>
      <c r="I13" s="18">
        <v>15115.35401750199</v>
      </c>
      <c r="J13" s="18">
        <v>15</v>
      </c>
      <c r="K13" s="18"/>
      <c r="L13" s="18"/>
      <c r="M13" s="18"/>
      <c r="N13" s="18"/>
      <c r="O13" s="18"/>
      <c r="P13" s="18"/>
      <c r="Q13" s="18"/>
      <c r="R13" s="18"/>
      <c r="S13" s="18">
        <v>22.672999999999998</v>
      </c>
      <c r="T13" s="18"/>
      <c r="U13" s="18"/>
      <c r="V13" s="18"/>
      <c r="W13" s="18"/>
      <c r="X13" s="18"/>
      <c r="Y13" s="18"/>
      <c r="Z13" s="18">
        <v>22.672999999999998</v>
      </c>
      <c r="AA13" s="18"/>
      <c r="AB13" s="18"/>
      <c r="AC13" s="18"/>
      <c r="AD13" s="18"/>
      <c r="AE13" s="18"/>
      <c r="AF13" s="18"/>
      <c r="AG13" s="18"/>
      <c r="AH13" s="18"/>
      <c r="AI13" s="18">
        <v>3778.838504375497</v>
      </c>
      <c r="AJ13" s="18"/>
      <c r="AK13" s="18"/>
      <c r="AL13" s="18"/>
      <c r="AM13" s="18"/>
      <c r="AN13" s="18"/>
      <c r="AO13" s="18"/>
      <c r="AP13" s="18">
        <v>3778.838504375497</v>
      </c>
      <c r="AQ13" s="18" t="s">
        <v>51</v>
      </c>
      <c r="AR13" s="18">
        <v>22.672999999999998</v>
      </c>
      <c r="AS13" s="18">
        <v>22.672999999999998</v>
      </c>
      <c r="AT13" s="18" t="s">
        <v>78</v>
      </c>
      <c r="AU13" s="18" t="s">
        <v>79</v>
      </c>
      <c r="AV13" s="18">
        <v>9.20962874501509</v>
      </c>
      <c r="AW13" s="18" t="s">
        <v>80</v>
      </c>
    </row>
    <row r="14" spans="1:49" ht="35" customHeight="1" x14ac:dyDescent="0.4">
      <c r="A14" s="18" t="s">
        <v>39</v>
      </c>
      <c r="B14" s="18" t="s">
        <v>76</v>
      </c>
      <c r="C14" s="18">
        <v>22.672999999999998</v>
      </c>
      <c r="D14" s="18" t="s">
        <v>47</v>
      </c>
      <c r="E14" s="18">
        <v>22.672999999999998</v>
      </c>
      <c r="F14" s="18" t="s">
        <v>58</v>
      </c>
      <c r="G14" s="18">
        <v>4534.6062052505968</v>
      </c>
      <c r="H14" s="18">
        <v>9</v>
      </c>
      <c r="I14" s="18">
        <v>40811.455847255369</v>
      </c>
      <c r="J14" s="18">
        <v>5.5555555555555554</v>
      </c>
      <c r="K14" s="18">
        <v>22.672999999999998</v>
      </c>
      <c r="L14" s="18"/>
      <c r="M14" s="18">
        <v>22.672999999999998</v>
      </c>
      <c r="N14" s="18"/>
      <c r="O14" s="18"/>
      <c r="P14" s="18"/>
      <c r="Q14" s="18"/>
      <c r="R14" s="18"/>
      <c r="S14" s="18"/>
      <c r="T14" s="18"/>
      <c r="U14" s="18"/>
      <c r="V14" s="18"/>
      <c r="W14" s="18">
        <v>22.672999999999998</v>
      </c>
      <c r="X14" s="18"/>
      <c r="Y14" s="18"/>
      <c r="Z14" s="18">
        <v>68.019099999999995</v>
      </c>
      <c r="AA14" s="18">
        <v>4534.6062052505968</v>
      </c>
      <c r="AB14" s="18"/>
      <c r="AC14" s="18">
        <v>4534.6062052505968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>
        <v>9069.2124105011935</v>
      </c>
      <c r="AN14" s="18"/>
      <c r="AO14" s="18"/>
      <c r="AP14" s="18">
        <v>18138.424821002391</v>
      </c>
      <c r="AQ14" s="18"/>
      <c r="AR14" s="18">
        <v>68.019099999999995</v>
      </c>
      <c r="AS14" s="18">
        <v>22.672999999999998</v>
      </c>
      <c r="AT14" s="18" t="s">
        <v>81</v>
      </c>
      <c r="AU14" s="18" t="s">
        <v>79</v>
      </c>
      <c r="AV14" s="18">
        <v>7.0880627052534102</v>
      </c>
      <c r="AW14" s="18" t="s">
        <v>82</v>
      </c>
    </row>
    <row r="15" spans="1:49" ht="35" customHeight="1" x14ac:dyDescent="0.4">
      <c r="A15" s="18" t="s">
        <v>83</v>
      </c>
      <c r="B15" s="18" t="s">
        <v>84</v>
      </c>
      <c r="C15" s="18">
        <v>2.8639999999999999</v>
      </c>
      <c r="D15" s="18" t="s">
        <v>85</v>
      </c>
      <c r="E15" s="18">
        <v>2.8639999999999999</v>
      </c>
      <c r="F15" s="18" t="s">
        <v>86</v>
      </c>
      <c r="G15" s="18">
        <v>954.65393794749389</v>
      </c>
      <c r="H15" s="18">
        <v>13</v>
      </c>
      <c r="I15" s="18">
        <v>12410.501193317419</v>
      </c>
      <c r="J15" s="18">
        <v>2.307692307692307</v>
      </c>
      <c r="K15" s="18">
        <v>2.8639999999999999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>
        <v>2.8639999999999999</v>
      </c>
      <c r="AA15" s="18">
        <v>954.65393794749389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954.65393794749389</v>
      </c>
      <c r="AQ15" s="18"/>
      <c r="AR15" s="18">
        <v>2.8639999999999999</v>
      </c>
      <c r="AS15" s="18">
        <v>2.8639999999999999</v>
      </c>
      <c r="AT15" s="18" t="s">
        <v>87</v>
      </c>
      <c r="AU15" s="18" t="s">
        <v>79</v>
      </c>
      <c r="AV15" s="18">
        <v>11.58611544167516</v>
      </c>
      <c r="AW15" s="18" t="s">
        <v>88</v>
      </c>
    </row>
    <row r="16" spans="1:49" ht="35" customHeight="1" x14ac:dyDescent="0.4">
      <c r="A16" s="18" t="s">
        <v>83</v>
      </c>
      <c r="B16" s="18" t="s">
        <v>89</v>
      </c>
      <c r="C16" s="18">
        <v>21.479700000000001</v>
      </c>
      <c r="D16" s="18" t="s">
        <v>85</v>
      </c>
      <c r="E16" s="18">
        <v>21.479700000000001</v>
      </c>
      <c r="F16" s="18" t="s">
        <v>90</v>
      </c>
      <c r="G16" s="18">
        <v>3304.5713236644019</v>
      </c>
      <c r="H16" s="18">
        <v>5</v>
      </c>
      <c r="I16" s="18">
        <v>16522.85661832201</v>
      </c>
      <c r="J16" s="18">
        <v>13</v>
      </c>
      <c r="K16" s="18">
        <v>21.479700000000001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>
        <v>21.479700000000001</v>
      </c>
      <c r="AA16" s="18">
        <v>3304.5713236644019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3304.5713236644019</v>
      </c>
      <c r="AQ16" s="18"/>
      <c r="AR16" s="18">
        <v>21.479700000000001</v>
      </c>
      <c r="AS16" s="18">
        <v>21.479700000000001</v>
      </c>
      <c r="AT16" s="18" t="s">
        <v>91</v>
      </c>
      <c r="AU16" s="18" t="s">
        <v>92</v>
      </c>
      <c r="AV16" s="18">
        <v>5000</v>
      </c>
      <c r="AW16" s="18" t="s">
        <v>93</v>
      </c>
    </row>
    <row r="17" spans="1:49" ht="35" customHeight="1" x14ac:dyDescent="0.4">
      <c r="A17" s="18" t="s">
        <v>83</v>
      </c>
      <c r="B17" s="18" t="s">
        <v>89</v>
      </c>
      <c r="C17" s="18">
        <v>21.479700000000001</v>
      </c>
      <c r="D17" s="18" t="s">
        <v>94</v>
      </c>
      <c r="E17" s="18">
        <v>21.479700000000001</v>
      </c>
      <c r="F17" s="18" t="s">
        <v>95</v>
      </c>
      <c r="G17" s="18">
        <v>3068.53051483123</v>
      </c>
      <c r="H17" s="18">
        <v>5</v>
      </c>
      <c r="I17" s="18">
        <v>15342.652574156151</v>
      </c>
      <c r="J17" s="18">
        <v>14</v>
      </c>
      <c r="K17" s="18">
        <v>21.479700000000001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>
        <v>4.2958999999999996</v>
      </c>
      <c r="Y17" s="18"/>
      <c r="Z17" s="18">
        <v>25.775700000000001</v>
      </c>
      <c r="AA17" s="18">
        <v>3068.53051483123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>
        <v>3068.53051483123</v>
      </c>
      <c r="AO17" s="18"/>
      <c r="AP17" s="18">
        <v>6137.0610296624609</v>
      </c>
      <c r="AQ17" s="18" t="s">
        <v>51</v>
      </c>
      <c r="AR17" s="18">
        <v>25.775700000000001</v>
      </c>
      <c r="AS17" s="18">
        <v>21.479700000000001</v>
      </c>
      <c r="AT17" s="18" t="s">
        <v>96</v>
      </c>
      <c r="AU17" s="18" t="s">
        <v>92</v>
      </c>
      <c r="AV17" s="18">
        <v>9178.9976133651544</v>
      </c>
      <c r="AW17" s="18" t="s">
        <v>97</v>
      </c>
    </row>
    <row r="18" spans="1:49" ht="35" customHeight="1" x14ac:dyDescent="0.4">
      <c r="A18" s="18" t="s">
        <v>83</v>
      </c>
      <c r="B18" s="18" t="s">
        <v>89</v>
      </c>
      <c r="C18" s="18">
        <v>21.479700000000001</v>
      </c>
      <c r="D18" s="18" t="s">
        <v>98</v>
      </c>
      <c r="E18" s="18">
        <v>21.479700000000001</v>
      </c>
      <c r="F18" s="18" t="s">
        <v>99</v>
      </c>
      <c r="G18" s="18">
        <v>1431.9809069212411</v>
      </c>
      <c r="H18" s="18">
        <v>2</v>
      </c>
      <c r="I18" s="18">
        <v>2863.9618138424821</v>
      </c>
      <c r="J18" s="18">
        <v>75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>
        <v>21.479700000000001</v>
      </c>
      <c r="W18" s="18"/>
      <c r="X18" s="18"/>
      <c r="Y18" s="18"/>
      <c r="Z18" s="18">
        <v>21.479700000000001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v>1431.9809069212411</v>
      </c>
      <c r="AM18" s="18"/>
      <c r="AN18" s="18"/>
      <c r="AO18" s="18"/>
      <c r="AP18" s="18">
        <v>1431.9809069212411</v>
      </c>
      <c r="AQ18" s="18"/>
      <c r="AR18" s="18">
        <v>21.479700000000001</v>
      </c>
      <c r="AS18" s="18">
        <v>21.479700000000001</v>
      </c>
      <c r="AT18" s="18" t="s">
        <v>100</v>
      </c>
      <c r="AU18" s="18" t="s">
        <v>101</v>
      </c>
      <c r="AV18" s="18">
        <v>63.56584925623951</v>
      </c>
      <c r="AW18" s="18" t="s">
        <v>102</v>
      </c>
    </row>
    <row r="19" spans="1:49" ht="35" customHeight="1" x14ac:dyDescent="0.4">
      <c r="A19" s="18" t="s">
        <v>83</v>
      </c>
      <c r="B19" s="18" t="s">
        <v>40</v>
      </c>
      <c r="C19" s="18">
        <v>3.1025999999999998</v>
      </c>
      <c r="D19" s="18" t="s">
        <v>85</v>
      </c>
      <c r="E19" s="18">
        <v>3.1025999999999998</v>
      </c>
      <c r="F19" s="18" t="s">
        <v>103</v>
      </c>
      <c r="G19" s="18">
        <v>1241.0501193317421</v>
      </c>
      <c r="H19" s="18">
        <v>13</v>
      </c>
      <c r="I19" s="18">
        <v>16133.651551312651</v>
      </c>
      <c r="J19" s="18">
        <v>1.9230769230769229</v>
      </c>
      <c r="K19" s="18">
        <v>3.1025999999999998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>
        <v>3.1025999999999998</v>
      </c>
      <c r="AA19" s="18">
        <v>1241.0501193317421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>
        <v>1241.0501193317421</v>
      </c>
      <c r="AQ19" s="18"/>
      <c r="AR19" s="18">
        <v>3.1025999999999998</v>
      </c>
      <c r="AS19" s="18">
        <v>3.1025999999999998</v>
      </c>
      <c r="AT19" s="18" t="s">
        <v>104</v>
      </c>
      <c r="AU19" s="18" t="s">
        <v>101</v>
      </c>
      <c r="AV19" s="18">
        <v>64.116280890373417</v>
      </c>
      <c r="AW19" s="18" t="s">
        <v>105</v>
      </c>
    </row>
    <row r="20" spans="1:49" ht="35" customHeight="1" x14ac:dyDescent="0.4">
      <c r="A20" s="18" t="s">
        <v>83</v>
      </c>
      <c r="B20" s="18" t="s">
        <v>40</v>
      </c>
      <c r="C20" s="18">
        <v>9.3079000000000001</v>
      </c>
      <c r="D20" s="18" t="s">
        <v>106</v>
      </c>
      <c r="E20" s="18">
        <v>9.3079000000000001</v>
      </c>
      <c r="F20" s="18" t="s">
        <v>66</v>
      </c>
      <c r="G20" s="18">
        <v>2659.3931128537338</v>
      </c>
      <c r="H20" s="18">
        <v>13</v>
      </c>
      <c r="I20" s="18">
        <v>34572.110467098537</v>
      </c>
      <c r="J20" s="18">
        <v>2.692307692307693</v>
      </c>
      <c r="K20" s="18">
        <v>9.3079000000000001</v>
      </c>
      <c r="L20" s="18"/>
      <c r="M20" s="18"/>
      <c r="N20" s="18"/>
      <c r="O20" s="18"/>
      <c r="P20" s="18"/>
      <c r="Q20" s="18"/>
      <c r="R20" s="18"/>
      <c r="S20" s="18"/>
      <c r="T20" s="18"/>
      <c r="U20" s="18">
        <v>9.3079000000000001</v>
      </c>
      <c r="V20" s="18"/>
      <c r="W20" s="18">
        <v>9.3079000000000001</v>
      </c>
      <c r="X20" s="18"/>
      <c r="Y20" s="18"/>
      <c r="Z20" s="18">
        <v>27.9236</v>
      </c>
      <c r="AA20" s="18">
        <v>2659.3931128537338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>
        <v>2659.3931128537338</v>
      </c>
      <c r="AL20" s="18"/>
      <c r="AM20" s="18">
        <v>5318.7862257074676</v>
      </c>
      <c r="AN20" s="18"/>
      <c r="AO20" s="18"/>
      <c r="AP20" s="18">
        <v>10637.572451414941</v>
      </c>
      <c r="AQ20" s="18" t="s">
        <v>67</v>
      </c>
      <c r="AR20" s="18">
        <v>27.9236</v>
      </c>
      <c r="AS20" s="18">
        <v>9.3079000000000001</v>
      </c>
      <c r="AT20" s="18" t="s">
        <v>107</v>
      </c>
      <c r="AU20" s="18" t="s">
        <v>108</v>
      </c>
      <c r="AV20" s="18">
        <v>39936.35640413683</v>
      </c>
      <c r="AW20" s="18" t="s">
        <v>109</v>
      </c>
    </row>
    <row r="21" spans="1:49" ht="35" customHeight="1" x14ac:dyDescent="0.4">
      <c r="A21" s="18" t="s">
        <v>83</v>
      </c>
      <c r="B21" s="18" t="s">
        <v>40</v>
      </c>
      <c r="C21" s="18">
        <v>9.3079000000000001</v>
      </c>
      <c r="D21" s="18" t="s">
        <v>110</v>
      </c>
      <c r="E21" s="18">
        <v>9.3079000000000001</v>
      </c>
      <c r="F21" s="18" t="s">
        <v>103</v>
      </c>
      <c r="G21" s="18">
        <v>3723.1503579952268</v>
      </c>
      <c r="H21" s="18">
        <v>6</v>
      </c>
      <c r="I21" s="18">
        <v>22338.902147971359</v>
      </c>
      <c r="J21" s="18">
        <v>4.166666666666667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>
        <v>9.3079000000000001</v>
      </c>
      <c r="V21" s="18"/>
      <c r="W21" s="18"/>
      <c r="X21" s="18"/>
      <c r="Y21" s="18"/>
      <c r="Z21" s="18">
        <v>9.3079000000000001</v>
      </c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>
        <v>3723.1503579952268</v>
      </c>
      <c r="AL21" s="18"/>
      <c r="AM21" s="18"/>
      <c r="AN21" s="18"/>
      <c r="AO21" s="18"/>
      <c r="AP21" s="18">
        <v>3723.1503579952268</v>
      </c>
      <c r="AQ21" s="18"/>
      <c r="AR21" s="18">
        <v>9.3079000000000001</v>
      </c>
      <c r="AS21" s="18">
        <v>9.3079000000000001</v>
      </c>
      <c r="AT21" s="18" t="s">
        <v>111</v>
      </c>
      <c r="AU21" s="18" t="s">
        <v>108</v>
      </c>
      <c r="AV21" s="18">
        <v>42402.545743834533</v>
      </c>
      <c r="AW21" s="18" t="s">
        <v>112</v>
      </c>
    </row>
    <row r="22" spans="1:49" ht="35" customHeight="1" x14ac:dyDescent="0.4">
      <c r="A22" s="18" t="s">
        <v>113</v>
      </c>
      <c r="B22" s="18" t="s">
        <v>114</v>
      </c>
      <c r="C22" s="18">
        <v>5.7279</v>
      </c>
      <c r="D22" s="18" t="s">
        <v>115</v>
      </c>
      <c r="E22" s="18">
        <v>5.7279</v>
      </c>
      <c r="F22" s="18" t="s">
        <v>58</v>
      </c>
      <c r="G22" s="18">
        <v>1145.5847255369929</v>
      </c>
      <c r="H22" s="18">
        <v>13</v>
      </c>
      <c r="I22" s="18">
        <v>14892.6014319809</v>
      </c>
      <c r="J22" s="18">
        <v>3.8461538461538458</v>
      </c>
      <c r="K22" s="18">
        <v>5.7279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>
        <v>5.7279</v>
      </c>
      <c r="AA22" s="18">
        <v>1145.5847255369929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1145.5847255369929</v>
      </c>
      <c r="AQ22" s="18"/>
      <c r="AR22" s="18">
        <v>5.7279</v>
      </c>
      <c r="AS22" s="18">
        <v>5.7279</v>
      </c>
      <c r="AT22" s="18"/>
      <c r="AU22" s="18"/>
      <c r="AV22" s="18"/>
      <c r="AW22" s="18" t="s">
        <v>88</v>
      </c>
    </row>
    <row r="23" spans="1:49" ht="35" customHeight="1" x14ac:dyDescent="0.4">
      <c r="A23" s="18" t="s">
        <v>113</v>
      </c>
      <c r="B23" s="18" t="s">
        <v>114</v>
      </c>
      <c r="C23" s="18">
        <v>5.7279</v>
      </c>
      <c r="D23" s="18" t="s">
        <v>41</v>
      </c>
      <c r="E23" s="18">
        <v>5.7279</v>
      </c>
      <c r="F23" s="18" t="s">
        <v>95</v>
      </c>
      <c r="G23" s="18">
        <v>818.2748039549947</v>
      </c>
      <c r="H23" s="18">
        <v>4</v>
      </c>
      <c r="I23" s="18">
        <v>3273.0992158199788</v>
      </c>
      <c r="J23" s="18">
        <v>17.5</v>
      </c>
      <c r="K23" s="18"/>
      <c r="L23" s="18"/>
      <c r="M23" s="18">
        <v>5.7279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>
        <v>5.7279</v>
      </c>
      <c r="AA23" s="18"/>
      <c r="AB23" s="18"/>
      <c r="AC23" s="18">
        <v>818.2748039549947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818.2748039549947</v>
      </c>
      <c r="AQ23" s="18" t="s">
        <v>51</v>
      </c>
      <c r="AR23" s="18">
        <v>5.7279</v>
      </c>
      <c r="AS23" s="18">
        <v>5.7279</v>
      </c>
      <c r="AT23" s="18"/>
      <c r="AU23" s="18"/>
      <c r="AV23" s="18"/>
      <c r="AW23" s="18" t="s">
        <v>116</v>
      </c>
    </row>
    <row r="24" spans="1:49" ht="35" customHeight="1" x14ac:dyDescent="0.4">
      <c r="A24" s="18" t="s">
        <v>113</v>
      </c>
      <c r="B24" s="18" t="s">
        <v>114</v>
      </c>
      <c r="C24" s="18">
        <v>5.7279</v>
      </c>
      <c r="D24" s="18" t="s">
        <v>47</v>
      </c>
      <c r="E24" s="18">
        <v>5.7279</v>
      </c>
      <c r="F24" s="18" t="s">
        <v>54</v>
      </c>
      <c r="G24" s="18">
        <v>715.99045346062042</v>
      </c>
      <c r="H24" s="18">
        <v>15</v>
      </c>
      <c r="I24" s="18">
        <v>10739.856801909311</v>
      </c>
      <c r="J24" s="18">
        <v>5.3333333333333339</v>
      </c>
      <c r="K24" s="18">
        <v>5.7279</v>
      </c>
      <c r="L24" s="18"/>
      <c r="M24" s="18">
        <v>5.7279</v>
      </c>
      <c r="N24" s="18"/>
      <c r="O24" s="18"/>
      <c r="P24" s="18"/>
      <c r="Q24" s="18"/>
      <c r="R24" s="18"/>
      <c r="S24" s="18"/>
      <c r="T24" s="18"/>
      <c r="U24" s="18"/>
      <c r="V24" s="18"/>
      <c r="W24" s="18">
        <v>5.7279</v>
      </c>
      <c r="X24" s="18"/>
      <c r="Y24" s="18"/>
      <c r="Z24" s="18">
        <v>17.183800000000002</v>
      </c>
      <c r="AA24" s="18">
        <v>715.99045346062042</v>
      </c>
      <c r="AB24" s="18"/>
      <c r="AC24" s="18">
        <v>715.99045346062042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>
        <v>2863.9618138424821</v>
      </c>
      <c r="AN24" s="18"/>
      <c r="AO24" s="18"/>
      <c r="AP24" s="18">
        <v>4295.9427207637227</v>
      </c>
      <c r="AQ24" s="18"/>
      <c r="AR24" s="18">
        <v>17.183800000000002</v>
      </c>
      <c r="AS24" s="18">
        <v>5.7279</v>
      </c>
      <c r="AT24" s="18"/>
      <c r="AU24" s="18"/>
      <c r="AV24" s="18"/>
      <c r="AW24" s="18" t="s">
        <v>117</v>
      </c>
    </row>
    <row r="25" spans="1:49" ht="35" customHeight="1" x14ac:dyDescent="0.4">
      <c r="A25" s="18" t="s">
        <v>113</v>
      </c>
      <c r="B25" s="18" t="s">
        <v>118</v>
      </c>
      <c r="C25" s="18">
        <v>21.479700000000001</v>
      </c>
      <c r="D25" s="18" t="s">
        <v>65</v>
      </c>
      <c r="E25" s="18">
        <v>21.479700000000001</v>
      </c>
      <c r="F25" s="18" t="s">
        <v>66</v>
      </c>
      <c r="G25" s="18">
        <v>6137.0610296624609</v>
      </c>
      <c r="H25" s="18">
        <v>8</v>
      </c>
      <c r="I25" s="18">
        <v>49096.488237299687</v>
      </c>
      <c r="J25" s="18">
        <v>4.375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>
        <v>21.479700000000001</v>
      </c>
      <c r="V25" s="18"/>
      <c r="W25" s="18"/>
      <c r="X25" s="18"/>
      <c r="Y25" s="18"/>
      <c r="Z25" s="18">
        <v>21.479700000000001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>
        <v>6137.0610296624609</v>
      </c>
      <c r="AL25" s="18"/>
      <c r="AM25" s="18"/>
      <c r="AN25" s="18"/>
      <c r="AO25" s="18"/>
      <c r="AP25" s="18">
        <v>6137.0610296624609</v>
      </c>
      <c r="AQ25" s="18" t="s">
        <v>67</v>
      </c>
      <c r="AR25" s="18">
        <v>21.479700000000001</v>
      </c>
      <c r="AS25" s="18">
        <v>21.479700000000001</v>
      </c>
      <c r="AT25" s="18"/>
      <c r="AU25" s="18"/>
      <c r="AV25" s="18"/>
      <c r="AW25" s="18" t="s">
        <v>119</v>
      </c>
    </row>
    <row r="26" spans="1:49" ht="35" customHeight="1" x14ac:dyDescent="0.4">
      <c r="A26" s="18" t="s">
        <v>113</v>
      </c>
      <c r="B26" s="18" t="s">
        <v>118</v>
      </c>
      <c r="C26" s="18">
        <v>21.479700000000001</v>
      </c>
      <c r="D26" s="18" t="s">
        <v>71</v>
      </c>
      <c r="E26" s="18">
        <v>21.479700000000001</v>
      </c>
      <c r="F26" s="18" t="s">
        <v>120</v>
      </c>
      <c r="G26" s="18">
        <v>4773.2696897374699</v>
      </c>
      <c r="H26" s="18">
        <v>15</v>
      </c>
      <c r="I26" s="18">
        <v>71599.045346062048</v>
      </c>
      <c r="J26" s="18">
        <v>3</v>
      </c>
      <c r="K26" s="18">
        <v>21.479700000000001</v>
      </c>
      <c r="L26" s="18"/>
      <c r="M26" s="18"/>
      <c r="N26" s="18"/>
      <c r="O26" s="18"/>
      <c r="P26" s="18"/>
      <c r="Q26" s="18"/>
      <c r="R26" s="18"/>
      <c r="S26" s="18"/>
      <c r="T26" s="18"/>
      <c r="U26" s="18">
        <v>21.479700000000001</v>
      </c>
      <c r="V26" s="18"/>
      <c r="W26" s="18"/>
      <c r="X26" s="18"/>
      <c r="Y26" s="18"/>
      <c r="Z26" s="18">
        <v>42.959400000000002</v>
      </c>
      <c r="AA26" s="18">
        <v>4773.2696897374699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>
        <v>4773.2696897374699</v>
      </c>
      <c r="AL26" s="18"/>
      <c r="AM26" s="18"/>
      <c r="AN26" s="18"/>
      <c r="AO26" s="18"/>
      <c r="AP26" s="18">
        <v>9546.5393794749398</v>
      </c>
      <c r="AQ26" s="18"/>
      <c r="AR26" s="18">
        <v>42.959400000000002</v>
      </c>
      <c r="AS26" s="18">
        <v>21.479700000000001</v>
      </c>
      <c r="AT26" s="18"/>
      <c r="AU26" s="18"/>
      <c r="AV26" s="18"/>
      <c r="AW26" s="18" t="s">
        <v>121</v>
      </c>
    </row>
    <row r="27" spans="1:49" ht="35" customHeight="1" x14ac:dyDescent="0.4">
      <c r="A27" s="18" t="s">
        <v>113</v>
      </c>
      <c r="B27" s="18" t="s">
        <v>40</v>
      </c>
      <c r="C27" s="18">
        <v>31.7422</v>
      </c>
      <c r="D27" s="18" t="s">
        <v>41</v>
      </c>
      <c r="E27" s="18">
        <v>31.7422</v>
      </c>
      <c r="F27" s="18" t="s">
        <v>42</v>
      </c>
      <c r="G27" s="18">
        <v>1587.112171837709</v>
      </c>
      <c r="H27" s="18">
        <v>2</v>
      </c>
      <c r="I27" s="18">
        <v>3174.224343675417</v>
      </c>
      <c r="J27" s="18">
        <v>100</v>
      </c>
      <c r="K27" s="18"/>
      <c r="L27" s="18"/>
      <c r="M27" s="18"/>
      <c r="N27" s="18"/>
      <c r="O27" s="18">
        <v>31.7422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>
        <v>31.7422</v>
      </c>
      <c r="AA27" s="18"/>
      <c r="AB27" s="18"/>
      <c r="AC27" s="18"/>
      <c r="AD27" s="18"/>
      <c r="AE27" s="18">
        <v>1587.112171837709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>
        <v>1587.112171837709</v>
      </c>
      <c r="AQ27" s="18" t="s">
        <v>43</v>
      </c>
      <c r="AR27" s="18">
        <v>31.7422</v>
      </c>
      <c r="AS27" s="18">
        <v>31.7422</v>
      </c>
      <c r="AT27" s="18"/>
      <c r="AU27" s="18"/>
      <c r="AV27" s="18"/>
      <c r="AW27" s="18" t="s">
        <v>46</v>
      </c>
    </row>
    <row r="28" spans="1:49" ht="35" customHeight="1" x14ac:dyDescent="0.4">
      <c r="A28" s="18" t="s">
        <v>113</v>
      </c>
      <c r="B28" s="18" t="s">
        <v>40</v>
      </c>
      <c r="C28" s="18">
        <v>31.7422</v>
      </c>
      <c r="D28" s="18" t="s">
        <v>47</v>
      </c>
      <c r="E28" s="18">
        <v>31.7422</v>
      </c>
      <c r="F28" s="18" t="s">
        <v>42</v>
      </c>
      <c r="G28" s="18">
        <v>1587.112171837709</v>
      </c>
      <c r="H28" s="18">
        <v>7</v>
      </c>
      <c r="I28" s="18">
        <v>11109.785202863961</v>
      </c>
      <c r="J28" s="18">
        <v>28.571428571428569</v>
      </c>
      <c r="K28" s="18"/>
      <c r="L28" s="18">
        <v>31.7422</v>
      </c>
      <c r="M28" s="18"/>
      <c r="N28" s="18"/>
      <c r="O28" s="18"/>
      <c r="P28" s="18"/>
      <c r="Q28" s="18">
        <v>31.7422</v>
      </c>
      <c r="R28" s="18"/>
      <c r="S28" s="18"/>
      <c r="T28" s="18"/>
      <c r="U28" s="18"/>
      <c r="V28" s="18"/>
      <c r="W28" s="18"/>
      <c r="X28" s="18"/>
      <c r="Y28" s="18"/>
      <c r="Z28" s="18">
        <v>63.484499999999997</v>
      </c>
      <c r="AA28" s="18"/>
      <c r="AB28" s="18">
        <v>1587.112171837709</v>
      </c>
      <c r="AC28" s="18"/>
      <c r="AD28" s="18"/>
      <c r="AE28" s="18"/>
      <c r="AF28" s="18"/>
      <c r="AG28" s="18">
        <v>3174.224343675417</v>
      </c>
      <c r="AH28" s="18"/>
      <c r="AI28" s="18"/>
      <c r="AJ28" s="18"/>
      <c r="AK28" s="18"/>
      <c r="AL28" s="18"/>
      <c r="AM28" s="18"/>
      <c r="AN28" s="18"/>
      <c r="AO28" s="18"/>
      <c r="AP28" s="18">
        <v>4761.336515513126</v>
      </c>
      <c r="AQ28" s="18"/>
      <c r="AR28" s="18">
        <v>63.484499999999997</v>
      </c>
      <c r="AS28" s="18">
        <v>31.7422</v>
      </c>
      <c r="AT28" s="18"/>
      <c r="AU28" s="18"/>
      <c r="AV28" s="18"/>
      <c r="AW28" s="18" t="s">
        <v>48</v>
      </c>
    </row>
    <row r="29" spans="1:49" ht="35" customHeight="1" x14ac:dyDescent="0.4">
      <c r="A29" s="18" t="s">
        <v>122</v>
      </c>
      <c r="B29" s="18" t="s">
        <v>123</v>
      </c>
      <c r="C29" s="18">
        <v>5.9665999999999997</v>
      </c>
      <c r="D29" s="18" t="s">
        <v>124</v>
      </c>
      <c r="E29" s="18">
        <v>5.9665999999999997</v>
      </c>
      <c r="F29" s="18" t="s">
        <v>86</v>
      </c>
      <c r="G29" s="18">
        <v>1988.862370723946</v>
      </c>
      <c r="H29" s="18">
        <v>15</v>
      </c>
      <c r="I29" s="18">
        <v>29832.93556085918</v>
      </c>
      <c r="J29" s="18">
        <v>2</v>
      </c>
      <c r="K29" s="18">
        <v>5.9665999999999997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>
        <v>5.9665999999999997</v>
      </c>
      <c r="AA29" s="18">
        <v>1988.862370723946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>
        <v>1988.862370723946</v>
      </c>
      <c r="AQ29" s="18"/>
      <c r="AR29" s="18">
        <v>5.9665999999999997</v>
      </c>
      <c r="AS29" s="18">
        <v>5.9665999999999997</v>
      </c>
      <c r="AT29" s="18"/>
      <c r="AU29" s="18"/>
      <c r="AV29" s="18"/>
      <c r="AW29" s="18" t="s">
        <v>125</v>
      </c>
    </row>
    <row r="30" spans="1:49" ht="35" customHeight="1" x14ac:dyDescent="0.4">
      <c r="A30" s="18" t="s">
        <v>122</v>
      </c>
      <c r="B30" s="18" t="s">
        <v>126</v>
      </c>
      <c r="C30" s="18">
        <v>42.959400000000002</v>
      </c>
      <c r="D30" s="18" t="s">
        <v>85</v>
      </c>
      <c r="E30" s="18">
        <v>42.959400000000002</v>
      </c>
      <c r="F30" s="18" t="s">
        <v>72</v>
      </c>
      <c r="G30" s="18">
        <v>10739.856801909311</v>
      </c>
      <c r="H30" s="18">
        <v>7</v>
      </c>
      <c r="I30" s="18">
        <v>75178.997613365136</v>
      </c>
      <c r="J30" s="18">
        <v>5.7142857142857144</v>
      </c>
      <c r="K30" s="18">
        <v>42.959400000000002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>
        <v>42.959400000000002</v>
      </c>
      <c r="AA30" s="18">
        <v>10739.856801909311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>
        <v>10739.856801909311</v>
      </c>
      <c r="AQ30" s="18"/>
      <c r="AR30" s="18">
        <v>42.959400000000002</v>
      </c>
      <c r="AS30" s="18">
        <v>42.959400000000002</v>
      </c>
      <c r="AT30" s="18"/>
      <c r="AU30" s="18"/>
      <c r="AV30" s="18"/>
      <c r="AW30" s="18" t="s">
        <v>88</v>
      </c>
    </row>
    <row r="31" spans="1:49" ht="35" customHeight="1" x14ac:dyDescent="0.4">
      <c r="A31" s="18" t="s">
        <v>122</v>
      </c>
      <c r="B31" s="18" t="s">
        <v>126</v>
      </c>
      <c r="C31" s="18">
        <v>100.23869999999999</v>
      </c>
      <c r="D31" s="18" t="s">
        <v>94</v>
      </c>
      <c r="E31" s="18">
        <v>100.23869999999999</v>
      </c>
      <c r="F31" s="18" t="s">
        <v>58</v>
      </c>
      <c r="G31" s="18">
        <v>20047.732696897368</v>
      </c>
      <c r="H31" s="18">
        <v>7</v>
      </c>
      <c r="I31" s="18">
        <v>140334.1288782816</v>
      </c>
      <c r="J31" s="18">
        <v>7.1428571428571432</v>
      </c>
      <c r="K31" s="18">
        <v>100.23869999999999</v>
      </c>
      <c r="L31" s="18"/>
      <c r="M31" s="18"/>
      <c r="N31" s="18"/>
      <c r="O31" s="18"/>
      <c r="P31" s="18"/>
      <c r="Q31" s="18"/>
      <c r="R31" s="18"/>
      <c r="S31" s="18">
        <v>100.23869999999999</v>
      </c>
      <c r="T31" s="18"/>
      <c r="U31" s="18"/>
      <c r="V31" s="18"/>
      <c r="W31" s="18"/>
      <c r="X31" s="18"/>
      <c r="Y31" s="18"/>
      <c r="Z31" s="18">
        <v>200.47730000000001</v>
      </c>
      <c r="AA31" s="18">
        <v>20047.732696897368</v>
      </c>
      <c r="AB31" s="18"/>
      <c r="AC31" s="18"/>
      <c r="AD31" s="18"/>
      <c r="AE31" s="18"/>
      <c r="AF31" s="18"/>
      <c r="AG31" s="18"/>
      <c r="AH31" s="18"/>
      <c r="AI31" s="18">
        <v>40095.465393794737</v>
      </c>
      <c r="AJ31" s="18"/>
      <c r="AK31" s="18"/>
      <c r="AL31" s="18"/>
      <c r="AM31" s="18"/>
      <c r="AN31" s="18"/>
      <c r="AO31" s="18"/>
      <c r="AP31" s="18">
        <v>60143.198090692109</v>
      </c>
      <c r="AQ31" s="18" t="s">
        <v>51</v>
      </c>
      <c r="AR31" s="18">
        <v>200.47730000000001</v>
      </c>
      <c r="AS31" s="18">
        <v>100.23869999999999</v>
      </c>
      <c r="AT31" s="18"/>
      <c r="AU31" s="18"/>
      <c r="AV31" s="18"/>
      <c r="AW31" s="18" t="s">
        <v>127</v>
      </c>
    </row>
    <row r="32" spans="1:49" ht="35" customHeight="1" x14ac:dyDescent="0.4">
      <c r="A32" s="18" t="s">
        <v>122</v>
      </c>
      <c r="B32" s="18" t="s">
        <v>126</v>
      </c>
      <c r="C32" s="18">
        <v>100.23869999999999</v>
      </c>
      <c r="D32" s="18" t="s">
        <v>98</v>
      </c>
      <c r="E32" s="18">
        <v>100.23869999999999</v>
      </c>
      <c r="F32" s="18" t="s">
        <v>77</v>
      </c>
      <c r="G32" s="18">
        <v>16706.443914081141</v>
      </c>
      <c r="H32" s="18">
        <v>4</v>
      </c>
      <c r="I32" s="18">
        <v>66825.775656324564</v>
      </c>
      <c r="J32" s="18">
        <v>15</v>
      </c>
      <c r="K32" s="18">
        <v>100.23869999999999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>
        <v>100.23869999999999</v>
      </c>
      <c r="AA32" s="18">
        <v>16706.443914081141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16706.443914081141</v>
      </c>
      <c r="AQ32" s="18"/>
      <c r="AR32" s="18">
        <v>100.23869999999999</v>
      </c>
      <c r="AS32" s="18">
        <v>100.23869999999999</v>
      </c>
      <c r="AT32" s="18"/>
      <c r="AU32" s="18"/>
      <c r="AV32" s="18"/>
      <c r="AW32" s="18" t="s">
        <v>128</v>
      </c>
    </row>
    <row r="33" spans="1:49" ht="35" customHeight="1" x14ac:dyDescent="0.4">
      <c r="A33" s="18" t="s">
        <v>122</v>
      </c>
      <c r="B33" s="18" t="s">
        <v>129</v>
      </c>
      <c r="C33" s="18">
        <v>34.3675</v>
      </c>
      <c r="D33" s="18" t="s">
        <v>106</v>
      </c>
      <c r="E33" s="18">
        <v>34.3675</v>
      </c>
      <c r="F33" s="18" t="s">
        <v>42</v>
      </c>
      <c r="G33" s="18">
        <v>1718.377088305489</v>
      </c>
      <c r="H33" s="18">
        <v>7</v>
      </c>
      <c r="I33" s="18">
        <v>12028.639618138421</v>
      </c>
      <c r="J33" s="18">
        <v>28.571428571428569</v>
      </c>
      <c r="K33" s="18"/>
      <c r="L33" s="18">
        <v>34.3675</v>
      </c>
      <c r="M33" s="18"/>
      <c r="N33" s="18"/>
      <c r="O33" s="18"/>
      <c r="P33" s="18"/>
      <c r="Q33" s="18">
        <v>34.3675</v>
      </c>
      <c r="R33" s="18"/>
      <c r="S33" s="18"/>
      <c r="T33" s="18"/>
      <c r="U33" s="18"/>
      <c r="V33" s="18"/>
      <c r="W33" s="18"/>
      <c r="X33" s="18"/>
      <c r="Y33" s="18"/>
      <c r="Z33" s="18">
        <v>68.735100000000003</v>
      </c>
      <c r="AA33" s="18"/>
      <c r="AB33" s="18">
        <v>1718.377088305489</v>
      </c>
      <c r="AC33" s="18"/>
      <c r="AD33" s="18"/>
      <c r="AE33" s="18"/>
      <c r="AF33" s="18"/>
      <c r="AG33" s="18">
        <v>3436.754176610978</v>
      </c>
      <c r="AH33" s="18"/>
      <c r="AI33" s="18"/>
      <c r="AJ33" s="18"/>
      <c r="AK33" s="18"/>
      <c r="AL33" s="18"/>
      <c r="AM33" s="18"/>
      <c r="AN33" s="18"/>
      <c r="AO33" s="18"/>
      <c r="AP33" s="18">
        <v>5155.1312649164674</v>
      </c>
      <c r="AQ33" s="18" t="s">
        <v>67</v>
      </c>
      <c r="AR33" s="18">
        <v>68.735100000000003</v>
      </c>
      <c r="AS33" s="18">
        <v>34.3675</v>
      </c>
      <c r="AT33" s="18"/>
      <c r="AU33" s="18"/>
      <c r="AV33" s="18"/>
      <c r="AW33" s="18" t="s">
        <v>130</v>
      </c>
    </row>
    <row r="34" spans="1:49" ht="35" customHeight="1" x14ac:dyDescent="0.4">
      <c r="A34" s="18" t="s">
        <v>122</v>
      </c>
      <c r="B34" s="18" t="s">
        <v>129</v>
      </c>
      <c r="C34" s="18">
        <v>34.3675</v>
      </c>
      <c r="D34" s="18" t="s">
        <v>110</v>
      </c>
      <c r="E34" s="18">
        <v>34.3675</v>
      </c>
      <c r="F34" s="18" t="s">
        <v>42</v>
      </c>
      <c r="G34" s="18">
        <v>1718.377088305489</v>
      </c>
      <c r="H34" s="18">
        <v>2</v>
      </c>
      <c r="I34" s="18">
        <v>3436.754176610978</v>
      </c>
      <c r="J34" s="18">
        <v>100</v>
      </c>
      <c r="K34" s="18"/>
      <c r="L34" s="18"/>
      <c r="M34" s="18"/>
      <c r="N34" s="18"/>
      <c r="O34" s="18">
        <v>34.3675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34.3675</v>
      </c>
      <c r="AA34" s="18"/>
      <c r="AB34" s="18"/>
      <c r="AC34" s="18"/>
      <c r="AD34" s="18"/>
      <c r="AE34" s="18">
        <v>1718.377088305489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1718.377088305489</v>
      </c>
      <c r="AQ34" s="18"/>
      <c r="AR34" s="18">
        <v>34.3675</v>
      </c>
      <c r="AS34" s="18">
        <v>34.3675</v>
      </c>
      <c r="AT34" s="18"/>
      <c r="AU34" s="18"/>
      <c r="AV34" s="18"/>
      <c r="AW34" s="18" t="s">
        <v>131</v>
      </c>
    </row>
    <row r="35" spans="1:49" ht="35" customHeight="1" x14ac:dyDescent="0.4">
      <c r="A35" s="18" t="s">
        <v>122</v>
      </c>
      <c r="B35" s="18" t="s">
        <v>129</v>
      </c>
      <c r="C35" s="18">
        <v>3.8186</v>
      </c>
      <c r="D35" s="18" t="s">
        <v>106</v>
      </c>
      <c r="E35" s="18">
        <v>3.8186</v>
      </c>
      <c r="F35" s="18" t="s">
        <v>42</v>
      </c>
      <c r="G35" s="18">
        <v>190.93078758949881</v>
      </c>
      <c r="H35" s="18">
        <v>7</v>
      </c>
      <c r="I35" s="18">
        <v>1336.5155131264919</v>
      </c>
      <c r="J35" s="18">
        <v>28.571428571428569</v>
      </c>
      <c r="K35" s="18"/>
      <c r="L35" s="18">
        <v>3.8186</v>
      </c>
      <c r="M35" s="18"/>
      <c r="N35" s="18"/>
      <c r="O35" s="18"/>
      <c r="P35" s="18"/>
      <c r="Q35" s="18">
        <v>3.8186</v>
      </c>
      <c r="R35" s="18"/>
      <c r="S35" s="18"/>
      <c r="T35" s="18"/>
      <c r="U35" s="18"/>
      <c r="V35" s="18"/>
      <c r="W35" s="18"/>
      <c r="X35" s="18"/>
      <c r="Y35" s="18"/>
      <c r="Z35" s="18">
        <v>7.6372</v>
      </c>
      <c r="AA35" s="18"/>
      <c r="AB35" s="18">
        <v>190.93078758949881</v>
      </c>
      <c r="AC35" s="18"/>
      <c r="AD35" s="18"/>
      <c r="AE35" s="18"/>
      <c r="AF35" s="18"/>
      <c r="AG35" s="18">
        <v>381.86157517899761</v>
      </c>
      <c r="AH35" s="18"/>
      <c r="AI35" s="18"/>
      <c r="AJ35" s="18"/>
      <c r="AK35" s="18"/>
      <c r="AL35" s="18"/>
      <c r="AM35" s="18"/>
      <c r="AN35" s="18"/>
      <c r="AO35" s="18"/>
      <c r="AP35" s="18">
        <v>572.79236276849645</v>
      </c>
      <c r="AQ35" s="18" t="s">
        <v>67</v>
      </c>
      <c r="AR35" s="18">
        <v>7.6372</v>
      </c>
      <c r="AS35" s="18">
        <v>3.8186</v>
      </c>
      <c r="AT35" s="18"/>
      <c r="AU35" s="18"/>
      <c r="AV35" s="18"/>
      <c r="AW35" s="18" t="s">
        <v>132</v>
      </c>
    </row>
    <row r="36" spans="1:49" ht="35" customHeight="1" x14ac:dyDescent="0.4">
      <c r="A36" s="18" t="s">
        <v>122</v>
      </c>
      <c r="B36" s="18" t="s">
        <v>129</v>
      </c>
      <c r="C36" s="18">
        <v>3.8186</v>
      </c>
      <c r="D36" s="18" t="s">
        <v>110</v>
      </c>
      <c r="E36" s="18">
        <v>3.8186</v>
      </c>
      <c r="F36" s="18" t="s">
        <v>103</v>
      </c>
      <c r="G36" s="18">
        <v>1527.44630071599</v>
      </c>
      <c r="H36" s="18">
        <v>6</v>
      </c>
      <c r="I36" s="18">
        <v>9164.6778042959431</v>
      </c>
      <c r="J36" s="18">
        <v>4.1666666666666661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>
        <v>3.8186</v>
      </c>
      <c r="V36" s="18"/>
      <c r="W36" s="18"/>
      <c r="X36" s="18"/>
      <c r="Y36" s="18"/>
      <c r="Z36" s="18">
        <v>3.8186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1527.44630071599</v>
      </c>
      <c r="AL36" s="18"/>
      <c r="AM36" s="18"/>
      <c r="AN36" s="18"/>
      <c r="AO36" s="18"/>
      <c r="AP36" s="18">
        <v>1527.44630071599</v>
      </c>
      <c r="AQ36" s="18"/>
      <c r="AR36" s="18">
        <v>3.8186</v>
      </c>
      <c r="AS36" s="18">
        <v>3.8186</v>
      </c>
      <c r="AT36" s="18"/>
      <c r="AU36" s="18"/>
      <c r="AV36" s="18"/>
      <c r="AW36" s="18" t="s">
        <v>133</v>
      </c>
    </row>
    <row r="37" spans="1:49" ht="35" customHeight="1" x14ac:dyDescent="0.25"/>
    <row r="38" spans="1:49" ht="35" customHeight="1" x14ac:dyDescent="0.25"/>
    <row r="39" spans="1:49" ht="35" customHeight="1" x14ac:dyDescent="0.25">
      <c r="T39" s="2"/>
    </row>
    <row r="40" spans="1:49" ht="35" customHeight="1" x14ac:dyDescent="0.25"/>
    <row r="41" spans="1:49" ht="35" customHeight="1" x14ac:dyDescent="0.25"/>
    <row r="42" spans="1:49" ht="35" customHeight="1" x14ac:dyDescent="0.25"/>
    <row r="43" spans="1:49" ht="35" customHeight="1" x14ac:dyDescent="0.25"/>
    <row r="44" spans="1:49" ht="35" customHeight="1" x14ac:dyDescent="0.25"/>
    <row r="45" spans="1:49" ht="35" customHeight="1" x14ac:dyDescent="0.25"/>
    <row r="46" spans="1:49" ht="35" customHeight="1" x14ac:dyDescent="0.25"/>
    <row r="47" spans="1:49" ht="35" customHeight="1" x14ac:dyDescent="0.25"/>
    <row r="48" spans="1:49" ht="35" customHeight="1" x14ac:dyDescent="0.25"/>
    <row r="49" ht="35" customHeight="1" x14ac:dyDescent="0.25"/>
    <row r="50" ht="35" customHeight="1" x14ac:dyDescent="0.25"/>
    <row r="51" ht="35" customHeight="1" x14ac:dyDescent="0.25"/>
    <row r="52" ht="35" customHeight="1" x14ac:dyDescent="0.25"/>
    <row r="53" ht="35" customHeight="1" x14ac:dyDescent="0.25"/>
    <row r="54" ht="35" customHeight="1" x14ac:dyDescent="0.25"/>
    <row r="55" ht="35" customHeight="1" x14ac:dyDescent="0.25"/>
    <row r="56" ht="35" customHeight="1" x14ac:dyDescent="0.25"/>
    <row r="57" ht="35" customHeight="1" x14ac:dyDescent="0.25"/>
    <row r="58" ht="35" customHeight="1" x14ac:dyDescent="0.25"/>
    <row r="59" ht="35" customHeight="1" x14ac:dyDescent="0.25"/>
    <row r="60" ht="35" customHeight="1" x14ac:dyDescent="0.25"/>
    <row r="61" ht="35" customHeight="1" x14ac:dyDescent="0.25"/>
    <row r="62" ht="35" customHeight="1" x14ac:dyDescent="0.25"/>
    <row r="63" ht="35" customHeight="1" x14ac:dyDescent="0.25"/>
    <row r="64" ht="35" customHeight="1" x14ac:dyDescent="0.25"/>
    <row r="65" ht="35" customHeight="1" x14ac:dyDescent="0.25"/>
    <row r="66" ht="35" customHeight="1" x14ac:dyDescent="0.25"/>
    <row r="67" ht="35" customHeight="1" x14ac:dyDescent="0.25"/>
    <row r="68" ht="35" customHeight="1" x14ac:dyDescent="0.25"/>
    <row r="69" ht="35" customHeight="1" x14ac:dyDescent="0.25"/>
    <row r="70" ht="35" customHeight="1" x14ac:dyDescent="0.25"/>
    <row r="71" ht="35" customHeight="1" x14ac:dyDescent="0.25"/>
    <row r="72" ht="35" customHeight="1" x14ac:dyDescent="0.25"/>
    <row r="73" ht="35" customHeight="1" x14ac:dyDescent="0.25"/>
    <row r="74" ht="35" customHeight="1" x14ac:dyDescent="0.25"/>
    <row r="75" ht="35" customHeight="1" x14ac:dyDescent="0.25"/>
    <row r="76" ht="35" customHeight="1" x14ac:dyDescent="0.25"/>
    <row r="77" ht="35" customHeight="1" x14ac:dyDescent="0.25"/>
    <row r="78" ht="35" customHeight="1" x14ac:dyDescent="0.25"/>
    <row r="79" ht="35" customHeight="1" x14ac:dyDescent="0.25"/>
    <row r="80" ht="35" customHeight="1" x14ac:dyDescent="0.25"/>
    <row r="81" ht="35" customHeight="1" x14ac:dyDescent="0.25"/>
    <row r="82" ht="35" customHeight="1" x14ac:dyDescent="0.25"/>
    <row r="83" ht="35" customHeight="1" x14ac:dyDescent="0.25"/>
    <row r="84" ht="35" customHeight="1" x14ac:dyDescent="0.25"/>
    <row r="85" ht="35" customHeight="1" x14ac:dyDescent="0.25"/>
    <row r="86" ht="35" customHeight="1" x14ac:dyDescent="0.25"/>
    <row r="87" ht="35" customHeight="1" x14ac:dyDescent="0.25"/>
    <row r="88" ht="35" customHeight="1" x14ac:dyDescent="0.25"/>
    <row r="89" ht="35" customHeight="1" x14ac:dyDescent="0.25"/>
    <row r="90" ht="35" customHeight="1" x14ac:dyDescent="0.25"/>
    <row r="91" ht="35" customHeight="1" x14ac:dyDescent="0.25"/>
    <row r="92" ht="35" customHeight="1" x14ac:dyDescent="0.25"/>
    <row r="93" ht="35" customHeight="1" x14ac:dyDescent="0.25"/>
    <row r="94" ht="35" customHeight="1" x14ac:dyDescent="0.25"/>
    <row r="95" ht="35" customHeight="1" x14ac:dyDescent="0.25"/>
    <row r="96" ht="35" customHeight="1" x14ac:dyDescent="0.25"/>
    <row r="97" ht="35" customHeight="1" x14ac:dyDescent="0.25"/>
    <row r="98" ht="35" customHeight="1" x14ac:dyDescent="0.25"/>
    <row r="99" ht="35" customHeight="1" x14ac:dyDescent="0.25"/>
    <row r="100" ht="35" customHeight="1" x14ac:dyDescent="0.25"/>
    <row r="101" ht="35" customHeight="1" x14ac:dyDescent="0.25"/>
    <row r="102" ht="35" customHeight="1" x14ac:dyDescent="0.25"/>
    <row r="103" ht="35" customHeight="1" x14ac:dyDescent="0.25"/>
    <row r="104" ht="35" customHeight="1" x14ac:dyDescent="0.25"/>
    <row r="105" ht="35" customHeight="1" x14ac:dyDescent="0.25"/>
    <row r="106" ht="35" customHeight="1" x14ac:dyDescent="0.25"/>
    <row r="107" ht="35" customHeight="1" x14ac:dyDescent="0.25"/>
    <row r="108" ht="35" customHeight="1" x14ac:dyDescent="0.25"/>
    <row r="109" ht="35" customHeight="1" x14ac:dyDescent="0.25"/>
    <row r="110" ht="35" customHeight="1" x14ac:dyDescent="0.25"/>
    <row r="111" ht="35" customHeight="1" x14ac:dyDescent="0.25"/>
    <row r="112" ht="35" customHeight="1" x14ac:dyDescent="0.25"/>
    <row r="113" ht="35" customHeight="1" x14ac:dyDescent="0.25"/>
    <row r="114" ht="35" customHeight="1" x14ac:dyDescent="0.25"/>
    <row r="115" ht="35" customHeight="1" x14ac:dyDescent="0.25"/>
    <row r="116" ht="35" customHeight="1" x14ac:dyDescent="0.25"/>
    <row r="117" ht="35" customHeight="1" x14ac:dyDescent="0.25"/>
    <row r="118" ht="35" customHeight="1" x14ac:dyDescent="0.25"/>
    <row r="119" ht="35" customHeight="1" x14ac:dyDescent="0.25"/>
    <row r="120" ht="35" customHeight="1" x14ac:dyDescent="0.25"/>
    <row r="121" ht="35" customHeight="1" x14ac:dyDescent="0.25"/>
    <row r="122" ht="35" customHeight="1" x14ac:dyDescent="0.25"/>
    <row r="123" ht="35" customHeight="1" x14ac:dyDescent="0.25"/>
    <row r="124" ht="35" customHeight="1" x14ac:dyDescent="0.25"/>
    <row r="125" ht="35" customHeight="1" x14ac:dyDescent="0.25"/>
    <row r="126" ht="35" customHeight="1" x14ac:dyDescent="0.25"/>
    <row r="127" ht="35" customHeight="1" x14ac:dyDescent="0.25"/>
    <row r="128" ht="35" customHeight="1" x14ac:dyDescent="0.25"/>
    <row r="129" ht="35" customHeight="1" x14ac:dyDescent="0.25"/>
    <row r="130" ht="35" customHeight="1" x14ac:dyDescent="0.25"/>
    <row r="131" ht="35" customHeight="1" x14ac:dyDescent="0.25"/>
    <row r="132" ht="35" customHeight="1" x14ac:dyDescent="0.25"/>
    <row r="133" ht="35" customHeight="1" x14ac:dyDescent="0.25"/>
    <row r="134" ht="35" customHeight="1" x14ac:dyDescent="0.25"/>
    <row r="135" ht="35" customHeight="1" x14ac:dyDescent="0.25"/>
    <row r="136" ht="35" customHeight="1" x14ac:dyDescent="0.25"/>
    <row r="137" ht="35" customHeight="1" x14ac:dyDescent="0.25"/>
    <row r="138" ht="35" customHeight="1" x14ac:dyDescent="0.25"/>
    <row r="139" ht="35" customHeight="1" x14ac:dyDescent="0.25"/>
    <row r="140" ht="35" customHeight="1" x14ac:dyDescent="0.25"/>
    <row r="141" ht="35" customHeight="1" x14ac:dyDescent="0.25"/>
    <row r="142" ht="35" customHeight="1" x14ac:dyDescent="0.25"/>
    <row r="143" ht="35" customHeight="1" x14ac:dyDescent="0.25"/>
    <row r="144" ht="35" customHeight="1" x14ac:dyDescent="0.25"/>
    <row r="145" ht="35" customHeight="1" x14ac:dyDescent="0.25"/>
    <row r="146" ht="35" customHeight="1" x14ac:dyDescent="0.25"/>
    <row r="147" ht="35" customHeight="1" x14ac:dyDescent="0.25"/>
    <row r="148" ht="35" customHeight="1" x14ac:dyDescent="0.25"/>
    <row r="149" ht="35" customHeight="1" x14ac:dyDescent="0.25"/>
    <row r="150" ht="35" customHeight="1" x14ac:dyDescent="0.25"/>
    <row r="151" ht="35" customHeight="1" x14ac:dyDescent="0.25"/>
    <row r="152" ht="35" customHeight="1" x14ac:dyDescent="0.25"/>
    <row r="153" ht="35" customHeight="1" x14ac:dyDescent="0.25"/>
    <row r="154" ht="35" customHeight="1" x14ac:dyDescent="0.25"/>
    <row r="155" ht="35" customHeight="1" x14ac:dyDescent="0.25"/>
    <row r="156" ht="35" customHeight="1" x14ac:dyDescent="0.25"/>
    <row r="157" ht="35" customHeight="1" x14ac:dyDescent="0.25"/>
    <row r="158" ht="35" customHeight="1" x14ac:dyDescent="0.25"/>
    <row r="159" ht="35" customHeight="1" x14ac:dyDescent="0.25"/>
    <row r="160" ht="35" customHeight="1" x14ac:dyDescent="0.25"/>
    <row r="161" ht="35" customHeight="1" x14ac:dyDescent="0.25"/>
    <row r="162" ht="35" customHeight="1" x14ac:dyDescent="0.25"/>
    <row r="163" ht="35" customHeight="1" x14ac:dyDescent="0.25"/>
    <row r="164" ht="35" customHeight="1" x14ac:dyDescent="0.25"/>
    <row r="165" ht="35" customHeight="1" x14ac:dyDescent="0.25"/>
    <row r="166" ht="35" customHeight="1" x14ac:dyDescent="0.25"/>
    <row r="167" ht="35" customHeight="1" x14ac:dyDescent="0.25"/>
    <row r="168" ht="35" customHeight="1" x14ac:dyDescent="0.25"/>
    <row r="169" ht="35" customHeight="1" x14ac:dyDescent="0.25"/>
    <row r="170" ht="35" customHeight="1" x14ac:dyDescent="0.25"/>
    <row r="171" ht="35" customHeight="1" x14ac:dyDescent="0.25"/>
    <row r="172" ht="35" customHeight="1" x14ac:dyDescent="0.25"/>
    <row r="173" ht="35" customHeight="1" x14ac:dyDescent="0.25"/>
    <row r="174" ht="35" customHeight="1" x14ac:dyDescent="0.25"/>
    <row r="175" ht="35" customHeight="1" x14ac:dyDescent="0.25"/>
    <row r="176" ht="35" customHeight="1" x14ac:dyDescent="0.25"/>
    <row r="177" ht="35" customHeight="1" x14ac:dyDescent="0.25"/>
    <row r="178" ht="35" customHeight="1" x14ac:dyDescent="0.25"/>
    <row r="179" ht="35" customHeight="1" x14ac:dyDescent="0.25"/>
    <row r="180" ht="35" customHeight="1" x14ac:dyDescent="0.25"/>
    <row r="181" ht="35" customHeight="1" x14ac:dyDescent="0.25"/>
    <row r="182" ht="35" customHeight="1" x14ac:dyDescent="0.25"/>
    <row r="183" ht="35" customHeight="1" x14ac:dyDescent="0.25"/>
    <row r="184" ht="35" customHeight="1" x14ac:dyDescent="0.25"/>
    <row r="185" ht="35" customHeight="1" x14ac:dyDescent="0.25"/>
    <row r="186" ht="35" customHeight="1" x14ac:dyDescent="0.25"/>
    <row r="187" ht="35" customHeight="1" x14ac:dyDescent="0.25"/>
    <row r="188" ht="35" customHeight="1" x14ac:dyDescent="0.25"/>
    <row r="189" ht="35" customHeight="1" x14ac:dyDescent="0.25"/>
    <row r="190" ht="35" customHeight="1" x14ac:dyDescent="0.25"/>
    <row r="191" ht="35" customHeight="1" x14ac:dyDescent="0.25"/>
    <row r="192" ht="35" customHeight="1" x14ac:dyDescent="0.25"/>
    <row r="193" ht="35" customHeight="1" x14ac:dyDescent="0.25"/>
    <row r="194" ht="35" customHeight="1" x14ac:dyDescent="0.25"/>
    <row r="195" ht="35" customHeight="1" x14ac:dyDescent="0.25"/>
    <row r="196" ht="35" customHeight="1" x14ac:dyDescent="0.25"/>
    <row r="197" ht="35" customHeight="1" x14ac:dyDescent="0.25"/>
    <row r="198" ht="35" customHeight="1" x14ac:dyDescent="0.25"/>
    <row r="199" ht="35" customHeight="1" x14ac:dyDescent="0.25"/>
    <row r="200" ht="35" customHeight="1" x14ac:dyDescent="0.25"/>
    <row r="201" ht="35" customHeight="1" x14ac:dyDescent="0.25"/>
    <row r="202" ht="35" customHeight="1" x14ac:dyDescent="0.25"/>
    <row r="203" ht="35" customHeight="1" x14ac:dyDescent="0.25"/>
    <row r="204" ht="35" customHeight="1" x14ac:dyDescent="0.25"/>
    <row r="205" ht="35" customHeight="1" x14ac:dyDescent="0.25"/>
    <row r="206" ht="35" customHeight="1" x14ac:dyDescent="0.25"/>
    <row r="207" ht="35" customHeight="1" x14ac:dyDescent="0.25"/>
    <row r="208" ht="35" customHeight="1" x14ac:dyDescent="0.25"/>
    <row r="209" ht="35" customHeight="1" x14ac:dyDescent="0.25"/>
    <row r="210" ht="35" customHeight="1" x14ac:dyDescent="0.25"/>
    <row r="211" ht="35" customHeight="1" x14ac:dyDescent="0.25"/>
    <row r="212" ht="35" customHeight="1" x14ac:dyDescent="0.25"/>
    <row r="213" ht="35" customHeight="1" x14ac:dyDescent="0.25"/>
    <row r="214" ht="35" customHeight="1" x14ac:dyDescent="0.25"/>
    <row r="215" ht="35" customHeight="1" x14ac:dyDescent="0.25"/>
    <row r="216" ht="35" customHeight="1" x14ac:dyDescent="0.25"/>
    <row r="217" ht="35" customHeight="1" x14ac:dyDescent="0.25"/>
    <row r="218" ht="35" customHeight="1" x14ac:dyDescent="0.25"/>
    <row r="219" ht="35" customHeight="1" x14ac:dyDescent="0.25"/>
    <row r="220" ht="35" customHeight="1" x14ac:dyDescent="0.25"/>
    <row r="221" ht="35" customHeight="1" x14ac:dyDescent="0.25"/>
    <row r="222" ht="35" customHeight="1" x14ac:dyDescent="0.25"/>
    <row r="223" ht="35" customHeight="1" x14ac:dyDescent="0.25"/>
    <row r="224" ht="35" customHeight="1" x14ac:dyDescent="0.25"/>
    <row r="225" ht="35" customHeight="1" x14ac:dyDescent="0.25"/>
    <row r="226" ht="35" customHeight="1" x14ac:dyDescent="0.25"/>
    <row r="227" ht="35" customHeight="1" x14ac:dyDescent="0.25"/>
    <row r="228" ht="35" customHeight="1" x14ac:dyDescent="0.25"/>
    <row r="229" ht="35" customHeight="1" x14ac:dyDescent="0.25"/>
    <row r="230" ht="35" customHeight="1" x14ac:dyDescent="0.25"/>
    <row r="231" ht="35" customHeight="1" x14ac:dyDescent="0.25"/>
    <row r="232" ht="35" customHeight="1" x14ac:dyDescent="0.25"/>
    <row r="233" ht="35" customHeight="1" x14ac:dyDescent="0.25"/>
    <row r="234" ht="35" customHeight="1" x14ac:dyDescent="0.25"/>
    <row r="235" ht="35" customHeight="1" x14ac:dyDescent="0.25"/>
    <row r="236" ht="35" customHeight="1" x14ac:dyDescent="0.25"/>
    <row r="237" ht="35" customHeight="1" x14ac:dyDescent="0.25"/>
    <row r="238" ht="35" customHeight="1" x14ac:dyDescent="0.25"/>
    <row r="239" ht="35" customHeight="1" x14ac:dyDescent="0.25"/>
    <row r="240" ht="35" customHeight="1" x14ac:dyDescent="0.25"/>
    <row r="241" ht="35" customHeight="1" x14ac:dyDescent="0.25"/>
    <row r="242" ht="35" customHeight="1" x14ac:dyDescent="0.25"/>
    <row r="243" ht="35" customHeight="1" x14ac:dyDescent="0.25"/>
    <row r="244" ht="35" customHeight="1" x14ac:dyDescent="0.25"/>
    <row r="245" ht="35" customHeight="1" x14ac:dyDescent="0.25"/>
    <row r="246" ht="35" customHeight="1" x14ac:dyDescent="0.25"/>
    <row r="247" ht="35" customHeight="1" x14ac:dyDescent="0.25"/>
    <row r="248" ht="35" customHeight="1" x14ac:dyDescent="0.25"/>
    <row r="249" ht="35" customHeight="1" x14ac:dyDescent="0.25"/>
    <row r="250" ht="35" customHeight="1" x14ac:dyDescent="0.25"/>
    <row r="251" ht="35" customHeight="1" x14ac:dyDescent="0.25"/>
    <row r="252" ht="35" customHeight="1" x14ac:dyDescent="0.25"/>
    <row r="253" ht="35" customHeight="1" x14ac:dyDescent="0.25"/>
    <row r="254" ht="35" customHeight="1" x14ac:dyDescent="0.25"/>
    <row r="255" ht="35" customHeight="1" x14ac:dyDescent="0.25"/>
    <row r="256" ht="35" customHeight="1" x14ac:dyDescent="0.25"/>
    <row r="257" ht="35" customHeight="1" x14ac:dyDescent="0.25"/>
    <row r="258" ht="35" customHeight="1" x14ac:dyDescent="0.25"/>
    <row r="259" ht="35" customHeight="1" x14ac:dyDescent="0.25"/>
    <row r="260" ht="35" customHeight="1" x14ac:dyDescent="0.25"/>
    <row r="261" ht="35" customHeight="1" x14ac:dyDescent="0.25"/>
    <row r="262" ht="35" customHeight="1" x14ac:dyDescent="0.25"/>
    <row r="263" ht="35" customHeight="1" x14ac:dyDescent="0.25"/>
    <row r="264" ht="35" customHeight="1" x14ac:dyDescent="0.25"/>
    <row r="265" ht="35" customHeight="1" x14ac:dyDescent="0.25"/>
    <row r="266" ht="35" customHeight="1" x14ac:dyDescent="0.25"/>
    <row r="267" ht="35" customHeight="1" x14ac:dyDescent="0.25"/>
    <row r="268" ht="35" customHeight="1" x14ac:dyDescent="0.25"/>
    <row r="269" ht="35" customHeight="1" x14ac:dyDescent="0.25"/>
    <row r="270" ht="35" customHeight="1" x14ac:dyDescent="0.25"/>
    <row r="271" ht="35" customHeight="1" x14ac:dyDescent="0.25"/>
    <row r="272" ht="35" customHeight="1" x14ac:dyDescent="0.25"/>
    <row r="273" ht="35" customHeight="1" x14ac:dyDescent="0.25"/>
    <row r="274" ht="35" customHeight="1" x14ac:dyDescent="0.25"/>
    <row r="275" ht="35" customHeight="1" x14ac:dyDescent="0.25"/>
    <row r="276" ht="35" customHeight="1" x14ac:dyDescent="0.25"/>
    <row r="277" ht="35" customHeight="1" x14ac:dyDescent="0.25"/>
    <row r="278" ht="35" customHeight="1" x14ac:dyDescent="0.25"/>
    <row r="279" ht="35" customHeight="1" x14ac:dyDescent="0.25"/>
    <row r="280" ht="35" customHeight="1" x14ac:dyDescent="0.25"/>
    <row r="281" ht="35" customHeight="1" x14ac:dyDescent="0.25"/>
    <row r="282" ht="35" customHeight="1" x14ac:dyDescent="0.25"/>
    <row r="283" ht="35" customHeight="1" x14ac:dyDescent="0.25"/>
    <row r="284" ht="35" customHeight="1" x14ac:dyDescent="0.25"/>
    <row r="285" ht="35" customHeight="1" x14ac:dyDescent="0.25"/>
    <row r="286" ht="35" customHeight="1" x14ac:dyDescent="0.25"/>
    <row r="287" ht="35" customHeight="1" x14ac:dyDescent="0.25"/>
    <row r="288" ht="35" customHeight="1" x14ac:dyDescent="0.25"/>
    <row r="289" ht="35" customHeight="1" x14ac:dyDescent="0.25"/>
    <row r="290" ht="35" customHeight="1" x14ac:dyDescent="0.25"/>
    <row r="291" ht="35" customHeight="1" x14ac:dyDescent="0.25"/>
    <row r="292" ht="35" customHeight="1" x14ac:dyDescent="0.25"/>
    <row r="293" ht="35" customHeight="1" x14ac:dyDescent="0.25"/>
    <row r="294" ht="35" customHeight="1" x14ac:dyDescent="0.25"/>
    <row r="295" ht="35" customHeight="1" x14ac:dyDescent="0.25"/>
    <row r="296" ht="35" customHeight="1" x14ac:dyDescent="0.25"/>
    <row r="297" ht="35" customHeight="1" x14ac:dyDescent="0.25"/>
    <row r="298" ht="35" customHeight="1" x14ac:dyDescent="0.25"/>
    <row r="299" ht="35" customHeight="1" x14ac:dyDescent="0.25"/>
    <row r="300" ht="35" customHeight="1" x14ac:dyDescent="0.25"/>
    <row r="301" ht="35" customHeight="1" x14ac:dyDescent="0.25"/>
    <row r="302" ht="35" customHeight="1" x14ac:dyDescent="0.25"/>
    <row r="303" ht="35" customHeight="1" x14ac:dyDescent="0.25"/>
    <row r="304" ht="35" customHeight="1" x14ac:dyDescent="0.25"/>
    <row r="305" ht="35" customHeight="1" x14ac:dyDescent="0.25"/>
    <row r="306" ht="35" customHeight="1" x14ac:dyDescent="0.25"/>
    <row r="307" ht="35" customHeight="1" x14ac:dyDescent="0.25"/>
    <row r="308" ht="35" customHeight="1" x14ac:dyDescent="0.25"/>
    <row r="309" ht="35" customHeight="1" x14ac:dyDescent="0.25"/>
    <row r="310" ht="35" customHeight="1" x14ac:dyDescent="0.25"/>
    <row r="311" ht="35" customHeight="1" x14ac:dyDescent="0.25"/>
    <row r="312" ht="35" customHeight="1" x14ac:dyDescent="0.25"/>
    <row r="313" ht="35" customHeight="1" x14ac:dyDescent="0.25"/>
    <row r="314" ht="35" customHeight="1" x14ac:dyDescent="0.25"/>
    <row r="315" ht="35" customHeight="1" x14ac:dyDescent="0.25"/>
    <row r="316" ht="35" customHeight="1" x14ac:dyDescent="0.25"/>
    <row r="317" ht="35" customHeight="1" x14ac:dyDescent="0.25"/>
    <row r="318" ht="35" customHeight="1" x14ac:dyDescent="0.25"/>
    <row r="319" ht="35" customHeight="1" x14ac:dyDescent="0.25"/>
    <row r="320" ht="35" customHeight="1" x14ac:dyDescent="0.25"/>
    <row r="321" ht="35" customHeight="1" x14ac:dyDescent="0.25"/>
    <row r="322" ht="35" customHeight="1" x14ac:dyDescent="0.25"/>
    <row r="323" ht="35" customHeight="1" x14ac:dyDescent="0.25"/>
    <row r="324" ht="35" customHeight="1" x14ac:dyDescent="0.25"/>
    <row r="325" ht="35" customHeight="1" x14ac:dyDescent="0.25"/>
    <row r="326" ht="35" customHeight="1" x14ac:dyDescent="0.25"/>
    <row r="327" ht="35" customHeight="1" x14ac:dyDescent="0.25"/>
    <row r="328" ht="35" customHeight="1" x14ac:dyDescent="0.25"/>
    <row r="329" ht="35" customHeight="1" x14ac:dyDescent="0.25"/>
    <row r="330" ht="35" customHeight="1" x14ac:dyDescent="0.25"/>
    <row r="331" ht="35" customHeight="1" x14ac:dyDescent="0.25"/>
    <row r="332" ht="35" customHeight="1" x14ac:dyDescent="0.25"/>
    <row r="333" ht="35" customHeight="1" x14ac:dyDescent="0.25"/>
    <row r="334" ht="35" customHeight="1" x14ac:dyDescent="0.25"/>
    <row r="335" ht="35" customHeight="1" x14ac:dyDescent="0.25"/>
    <row r="336" ht="35" customHeight="1" x14ac:dyDescent="0.25"/>
    <row r="337" ht="35" customHeight="1" x14ac:dyDescent="0.25"/>
    <row r="338" ht="35" customHeight="1" x14ac:dyDescent="0.25"/>
    <row r="339" ht="35" customHeight="1" x14ac:dyDescent="0.25"/>
    <row r="340" ht="35" customHeight="1" x14ac:dyDescent="0.25"/>
    <row r="341" ht="35" customHeight="1" x14ac:dyDescent="0.25"/>
    <row r="342" ht="35" customHeight="1" x14ac:dyDescent="0.25"/>
    <row r="343" ht="35" customHeight="1" x14ac:dyDescent="0.25"/>
    <row r="344" ht="35" customHeight="1" x14ac:dyDescent="0.25"/>
    <row r="345" ht="35" customHeight="1" x14ac:dyDescent="0.25"/>
    <row r="346" ht="35" customHeight="1" x14ac:dyDescent="0.25"/>
    <row r="347" ht="35" customHeight="1" x14ac:dyDescent="0.25"/>
    <row r="348" ht="35" customHeight="1" x14ac:dyDescent="0.25"/>
    <row r="349" ht="35" customHeight="1" x14ac:dyDescent="0.25"/>
    <row r="350" ht="35" customHeight="1" x14ac:dyDescent="0.25"/>
    <row r="351" ht="35" customHeight="1" x14ac:dyDescent="0.25"/>
    <row r="352" ht="35" customHeight="1" x14ac:dyDescent="0.25"/>
    <row r="353" ht="35" customHeight="1" x14ac:dyDescent="0.25"/>
    <row r="354" ht="35" customHeight="1" x14ac:dyDescent="0.25"/>
    <row r="355" ht="35" customHeight="1" x14ac:dyDescent="0.25"/>
    <row r="356" ht="35" customHeight="1" x14ac:dyDescent="0.25"/>
    <row r="357" ht="35" customHeight="1" x14ac:dyDescent="0.25"/>
    <row r="358" ht="35" customHeight="1" x14ac:dyDescent="0.25"/>
    <row r="359" ht="35" customHeight="1" x14ac:dyDescent="0.25"/>
    <row r="360" ht="35" customHeight="1" x14ac:dyDescent="0.25"/>
    <row r="361" ht="35" customHeight="1" x14ac:dyDescent="0.25"/>
    <row r="362" ht="35" customHeight="1" x14ac:dyDescent="0.25"/>
    <row r="363" ht="35" customHeight="1" x14ac:dyDescent="0.25"/>
    <row r="364" ht="35" customHeight="1" x14ac:dyDescent="0.25"/>
    <row r="365" ht="35" customHeight="1" x14ac:dyDescent="0.25"/>
    <row r="366" ht="35" customHeight="1" x14ac:dyDescent="0.25"/>
    <row r="367" ht="35" customHeight="1" x14ac:dyDescent="0.25"/>
    <row r="368" ht="35" customHeight="1" x14ac:dyDescent="0.25"/>
    <row r="369" ht="35" customHeight="1" x14ac:dyDescent="0.25"/>
    <row r="370" ht="35" customHeight="1" x14ac:dyDescent="0.25"/>
    <row r="371" ht="35" customHeight="1" x14ac:dyDescent="0.25"/>
    <row r="372" ht="35" customHeight="1" x14ac:dyDescent="0.25"/>
    <row r="373" ht="35" customHeight="1" x14ac:dyDescent="0.25"/>
    <row r="374" ht="35" customHeight="1" x14ac:dyDescent="0.25"/>
    <row r="375" ht="35" customHeight="1" x14ac:dyDescent="0.25"/>
    <row r="376" ht="35" customHeight="1" x14ac:dyDescent="0.25"/>
    <row r="377" ht="35" customHeight="1" x14ac:dyDescent="0.25"/>
    <row r="378" ht="35" customHeight="1" x14ac:dyDescent="0.25"/>
    <row r="379" ht="35" customHeight="1" x14ac:dyDescent="0.25"/>
    <row r="380" ht="35" customHeight="1" x14ac:dyDescent="0.25"/>
    <row r="381" ht="35" customHeight="1" x14ac:dyDescent="0.25"/>
    <row r="382" ht="35" customHeight="1" x14ac:dyDescent="0.25"/>
    <row r="383" ht="35" customHeight="1" x14ac:dyDescent="0.25"/>
    <row r="384" ht="35" customHeight="1" x14ac:dyDescent="0.25"/>
    <row r="385" ht="35" customHeight="1" x14ac:dyDescent="0.25"/>
    <row r="386" ht="35" customHeight="1" x14ac:dyDescent="0.25"/>
    <row r="387" ht="35" customHeight="1" x14ac:dyDescent="0.25"/>
    <row r="388" ht="35" customHeight="1" x14ac:dyDescent="0.25"/>
    <row r="389" ht="35" customHeight="1" x14ac:dyDescent="0.25"/>
    <row r="390" ht="35" customHeight="1" x14ac:dyDescent="0.25"/>
    <row r="391" ht="35" customHeight="1" x14ac:dyDescent="0.25"/>
    <row r="392" ht="35" customHeight="1" x14ac:dyDescent="0.25"/>
    <row r="393" ht="35" customHeight="1" x14ac:dyDescent="0.25"/>
    <row r="394" ht="35" customHeight="1" x14ac:dyDescent="0.25"/>
    <row r="395" ht="35" customHeight="1" x14ac:dyDescent="0.25"/>
    <row r="396" ht="35" customHeight="1" x14ac:dyDescent="0.25"/>
    <row r="397" ht="35" customHeight="1" x14ac:dyDescent="0.25"/>
    <row r="398" ht="35" customHeight="1" x14ac:dyDescent="0.25"/>
    <row r="399" ht="35" customHeight="1" x14ac:dyDescent="0.25"/>
    <row r="400" ht="35" customHeight="1" x14ac:dyDescent="0.25"/>
    <row r="401" ht="35" customHeight="1" x14ac:dyDescent="0.25"/>
    <row r="402" ht="35" customHeight="1" x14ac:dyDescent="0.25"/>
    <row r="403" ht="35" customHeight="1" x14ac:dyDescent="0.25"/>
    <row r="404" ht="35" customHeight="1" x14ac:dyDescent="0.25"/>
    <row r="405" ht="35" customHeight="1" x14ac:dyDescent="0.25"/>
    <row r="406" ht="35" customHeight="1" x14ac:dyDescent="0.25"/>
    <row r="407" ht="35" customHeight="1" x14ac:dyDescent="0.25"/>
    <row r="408" ht="35" customHeight="1" x14ac:dyDescent="0.25"/>
    <row r="409" ht="35" customHeight="1" x14ac:dyDescent="0.25"/>
    <row r="410" ht="35" customHeight="1" x14ac:dyDescent="0.25"/>
    <row r="411" ht="35" customHeight="1" x14ac:dyDescent="0.25"/>
    <row r="412" ht="35" customHeight="1" x14ac:dyDescent="0.25"/>
    <row r="413" ht="35" customHeight="1" x14ac:dyDescent="0.25"/>
    <row r="414" ht="35" customHeight="1" x14ac:dyDescent="0.25"/>
    <row r="415" ht="35" customHeight="1" x14ac:dyDescent="0.25"/>
    <row r="416" ht="35" customHeight="1" x14ac:dyDescent="0.25"/>
    <row r="417" ht="35" customHeight="1" x14ac:dyDescent="0.25"/>
    <row r="418" ht="35" customHeight="1" x14ac:dyDescent="0.25"/>
    <row r="419" ht="35" customHeight="1" x14ac:dyDescent="0.25"/>
    <row r="420" ht="35" customHeight="1" x14ac:dyDescent="0.25"/>
    <row r="421" ht="35" customHeight="1" x14ac:dyDescent="0.25"/>
    <row r="422" ht="35" customHeight="1" x14ac:dyDescent="0.25"/>
    <row r="423" ht="35" customHeight="1" x14ac:dyDescent="0.25"/>
    <row r="424" ht="35" customHeight="1" x14ac:dyDescent="0.25"/>
    <row r="425" ht="35" customHeight="1" x14ac:dyDescent="0.25"/>
    <row r="426" ht="35" customHeight="1" x14ac:dyDescent="0.25"/>
    <row r="427" ht="35" customHeight="1" x14ac:dyDescent="0.25"/>
    <row r="428" ht="35" customHeight="1" x14ac:dyDescent="0.25"/>
    <row r="429" ht="35" customHeight="1" x14ac:dyDescent="0.25"/>
    <row r="430" ht="35" customHeight="1" x14ac:dyDescent="0.25"/>
    <row r="431" ht="35" customHeight="1" x14ac:dyDescent="0.25"/>
    <row r="432" ht="35" customHeight="1" x14ac:dyDescent="0.25"/>
    <row r="433" ht="35" customHeight="1" x14ac:dyDescent="0.25"/>
    <row r="434" ht="35" customHeight="1" x14ac:dyDescent="0.25"/>
    <row r="435" ht="35" customHeight="1" x14ac:dyDescent="0.25"/>
    <row r="436" ht="35" customHeight="1" x14ac:dyDescent="0.25"/>
    <row r="437" ht="35" customHeight="1" x14ac:dyDescent="0.25"/>
    <row r="438" ht="35" customHeight="1" x14ac:dyDescent="0.25"/>
    <row r="439" ht="35" customHeight="1" x14ac:dyDescent="0.25"/>
    <row r="440" ht="35" customHeight="1" x14ac:dyDescent="0.25"/>
    <row r="441" ht="35" customHeight="1" x14ac:dyDescent="0.25"/>
    <row r="442" ht="35" customHeight="1" x14ac:dyDescent="0.25"/>
    <row r="443" ht="35" customHeight="1" x14ac:dyDescent="0.25"/>
    <row r="444" ht="35" customHeight="1" x14ac:dyDescent="0.25"/>
    <row r="445" ht="35" customHeight="1" x14ac:dyDescent="0.25"/>
    <row r="446" ht="35" customHeight="1" x14ac:dyDescent="0.25"/>
    <row r="447" ht="35" customHeight="1" x14ac:dyDescent="0.25"/>
    <row r="448" ht="35" customHeight="1" x14ac:dyDescent="0.25"/>
    <row r="449" ht="35" customHeight="1" x14ac:dyDescent="0.25"/>
    <row r="450" ht="35" customHeight="1" x14ac:dyDescent="0.25"/>
    <row r="451" ht="35" customHeight="1" x14ac:dyDescent="0.25"/>
    <row r="452" ht="35" customHeight="1" x14ac:dyDescent="0.25"/>
    <row r="453" ht="35" customHeight="1" x14ac:dyDescent="0.25"/>
    <row r="454" ht="35" customHeight="1" x14ac:dyDescent="0.25"/>
    <row r="455" ht="35" customHeight="1" x14ac:dyDescent="0.25"/>
    <row r="456" ht="35" customHeight="1" x14ac:dyDescent="0.25"/>
    <row r="457" ht="35" customHeight="1" x14ac:dyDescent="0.25"/>
    <row r="458" ht="35" customHeight="1" x14ac:dyDescent="0.25"/>
    <row r="459" ht="35" customHeight="1" x14ac:dyDescent="0.25"/>
    <row r="460" ht="35" customHeight="1" x14ac:dyDescent="0.25"/>
    <row r="461" ht="35" customHeight="1" x14ac:dyDescent="0.25"/>
    <row r="462" ht="35" customHeight="1" x14ac:dyDescent="0.25"/>
    <row r="463" ht="35" customHeight="1" x14ac:dyDescent="0.25"/>
    <row r="464" ht="35" customHeight="1" x14ac:dyDescent="0.25"/>
    <row r="465" ht="35" customHeight="1" x14ac:dyDescent="0.25"/>
    <row r="466" ht="35" customHeight="1" x14ac:dyDescent="0.25"/>
    <row r="467" ht="35" customHeight="1" x14ac:dyDescent="0.25"/>
    <row r="468" ht="35" customHeight="1" x14ac:dyDescent="0.25"/>
    <row r="469" ht="35" customHeight="1" x14ac:dyDescent="0.25"/>
    <row r="470" ht="35" customHeight="1" x14ac:dyDescent="0.25"/>
    <row r="471" ht="35" customHeight="1" x14ac:dyDescent="0.25"/>
    <row r="472" ht="35" customHeight="1" x14ac:dyDescent="0.25"/>
    <row r="473" ht="35" customHeight="1" x14ac:dyDescent="0.25"/>
    <row r="474" ht="35" customHeight="1" x14ac:dyDescent="0.25"/>
    <row r="475" ht="35" customHeight="1" x14ac:dyDescent="0.25"/>
    <row r="476" ht="35" customHeight="1" x14ac:dyDescent="0.25"/>
    <row r="477" ht="35" customHeight="1" x14ac:dyDescent="0.25"/>
    <row r="478" ht="35" customHeight="1" x14ac:dyDescent="0.25"/>
    <row r="479" ht="35" customHeight="1" x14ac:dyDescent="0.25"/>
    <row r="480" ht="35" customHeight="1" x14ac:dyDescent="0.25"/>
    <row r="481" ht="35" customHeight="1" x14ac:dyDescent="0.25"/>
    <row r="482" ht="35" customHeight="1" x14ac:dyDescent="0.25"/>
    <row r="483" ht="35" customHeight="1" x14ac:dyDescent="0.25"/>
    <row r="484" ht="35" customHeight="1" x14ac:dyDescent="0.25"/>
    <row r="485" ht="35" customHeight="1" x14ac:dyDescent="0.25"/>
    <row r="486" ht="35" customHeight="1" x14ac:dyDescent="0.25"/>
    <row r="487" ht="35" customHeight="1" x14ac:dyDescent="0.25"/>
    <row r="488" ht="35" customHeight="1" x14ac:dyDescent="0.25"/>
    <row r="489" ht="35" customHeight="1" x14ac:dyDescent="0.25"/>
    <row r="490" ht="35" customHeight="1" x14ac:dyDescent="0.25"/>
    <row r="491" ht="35" customHeight="1" x14ac:dyDescent="0.25"/>
    <row r="492" ht="35" customHeight="1" x14ac:dyDescent="0.25"/>
    <row r="493" ht="35" customHeight="1" x14ac:dyDescent="0.25"/>
    <row r="494" ht="35" customHeight="1" x14ac:dyDescent="0.25"/>
    <row r="495" ht="35" customHeight="1" x14ac:dyDescent="0.25"/>
    <row r="496" ht="35" customHeight="1" x14ac:dyDescent="0.25"/>
    <row r="497" ht="35" customHeight="1" x14ac:dyDescent="0.25"/>
    <row r="498" ht="35" customHeight="1" x14ac:dyDescent="0.25"/>
    <row r="499" ht="35" customHeight="1" x14ac:dyDescent="0.25"/>
    <row r="500" ht="35" customHeight="1" x14ac:dyDescent="0.25"/>
    <row r="501" ht="35" customHeight="1" x14ac:dyDescent="0.25"/>
    <row r="502" ht="35" customHeight="1" x14ac:dyDescent="0.25"/>
    <row r="503" ht="35" customHeight="1" x14ac:dyDescent="0.25"/>
    <row r="504" ht="35" customHeight="1" x14ac:dyDescent="0.25"/>
    <row r="505" ht="35" customHeight="1" x14ac:dyDescent="0.25"/>
    <row r="506" ht="35" customHeight="1" x14ac:dyDescent="0.25"/>
    <row r="507" ht="35" customHeight="1" x14ac:dyDescent="0.25"/>
    <row r="508" ht="35" customHeight="1" x14ac:dyDescent="0.25"/>
    <row r="509" ht="35" customHeight="1" x14ac:dyDescent="0.25"/>
    <row r="510" ht="35" customHeight="1" x14ac:dyDescent="0.25"/>
    <row r="511" ht="35" customHeight="1" x14ac:dyDescent="0.25"/>
    <row r="512" ht="35" customHeight="1" x14ac:dyDescent="0.25"/>
    <row r="513" ht="35" customHeight="1" x14ac:dyDescent="0.25"/>
    <row r="514" ht="35" customHeight="1" x14ac:dyDescent="0.25"/>
    <row r="515" ht="35" customHeight="1" x14ac:dyDescent="0.25"/>
    <row r="516" ht="35" customHeight="1" x14ac:dyDescent="0.25"/>
    <row r="517" ht="35" customHeight="1" x14ac:dyDescent="0.25"/>
    <row r="518" ht="35" customHeight="1" x14ac:dyDescent="0.25"/>
    <row r="519" ht="35" customHeight="1" x14ac:dyDescent="0.25"/>
    <row r="520" ht="35" customHeight="1" x14ac:dyDescent="0.25"/>
    <row r="521" ht="35" customHeight="1" x14ac:dyDescent="0.25"/>
    <row r="522" ht="35" customHeight="1" x14ac:dyDescent="0.25"/>
    <row r="523" ht="35" customHeight="1" x14ac:dyDescent="0.25"/>
    <row r="524" ht="35" customHeight="1" x14ac:dyDescent="0.25"/>
    <row r="525" ht="35" customHeight="1" x14ac:dyDescent="0.25"/>
    <row r="526" ht="35" customHeight="1" x14ac:dyDescent="0.25"/>
    <row r="527" ht="35" customHeight="1" x14ac:dyDescent="0.25"/>
    <row r="528" ht="35" customHeight="1" x14ac:dyDescent="0.25"/>
    <row r="529" ht="35" customHeight="1" x14ac:dyDescent="0.25"/>
    <row r="530" ht="35" customHeight="1" x14ac:dyDescent="0.25"/>
    <row r="531" ht="35" customHeight="1" x14ac:dyDescent="0.25"/>
    <row r="532" ht="35" customHeight="1" x14ac:dyDescent="0.25"/>
    <row r="533" ht="35" customHeight="1" x14ac:dyDescent="0.25"/>
    <row r="534" ht="35" customHeight="1" x14ac:dyDescent="0.25"/>
    <row r="535" ht="35" customHeight="1" x14ac:dyDescent="0.25"/>
    <row r="536" ht="35" customHeight="1" x14ac:dyDescent="0.25"/>
    <row r="537" ht="35" customHeight="1" x14ac:dyDescent="0.25"/>
    <row r="538" ht="35" customHeight="1" x14ac:dyDescent="0.25"/>
  </sheetData>
  <mergeCells count="20">
    <mergeCell ref="A1:AW1"/>
    <mergeCell ref="C3:C4"/>
    <mergeCell ref="E3:E4"/>
    <mergeCell ref="AT3:AV3"/>
    <mergeCell ref="AR3:AR4"/>
    <mergeCell ref="A2:B2"/>
    <mergeCell ref="AU2:AW2"/>
    <mergeCell ref="H3:H4"/>
    <mergeCell ref="J3:J4"/>
    <mergeCell ref="AS3:AS4"/>
    <mergeCell ref="A3:A4"/>
    <mergeCell ref="G3:G4"/>
    <mergeCell ref="I3:I4"/>
    <mergeCell ref="K3:Z3"/>
    <mergeCell ref="D3:D4"/>
    <mergeCell ref="B3:B4"/>
    <mergeCell ref="F3:F4"/>
    <mergeCell ref="AA3:AP3"/>
    <mergeCell ref="AQ3:AQ4"/>
    <mergeCell ref="AW3:AW4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ySplit="1" topLeftCell="A2" activePane="bottomLeft" state="frozen"/>
      <selection pane="bottomLeft" activeCell="F5" sqref="F5"/>
    </sheetView>
  </sheetViews>
  <sheetFormatPr defaultRowHeight="14" x14ac:dyDescent="0.25"/>
  <cols>
    <col min="1" max="3" width="10" customWidth="1"/>
    <col min="4" max="4" width="20" customWidth="1"/>
    <col min="5" max="5" width="11" customWidth="1"/>
    <col min="6" max="6" width="15" customWidth="1"/>
    <col min="7" max="7" width="11" customWidth="1"/>
    <col min="8" max="8" width="21" customWidth="1"/>
    <col min="9" max="10" width="20" customWidth="1"/>
    <col min="11" max="11" width="15" customWidth="1"/>
  </cols>
  <sheetData>
    <row r="1" spans="1:11" s="20" customFormat="1" ht="28" x14ac:dyDescent="0.25">
      <c r="A1" s="19" t="s">
        <v>3</v>
      </c>
      <c r="B1" s="19" t="s">
        <v>134</v>
      </c>
      <c r="C1" s="19" t="s">
        <v>135</v>
      </c>
      <c r="D1" s="19" t="s">
        <v>136</v>
      </c>
      <c r="E1" s="19" t="s">
        <v>137</v>
      </c>
      <c r="F1" s="19" t="s">
        <v>138</v>
      </c>
      <c r="G1" s="19" t="s">
        <v>139</v>
      </c>
      <c r="H1" s="19" t="s">
        <v>19</v>
      </c>
      <c r="I1" s="19" t="s">
        <v>140</v>
      </c>
      <c r="J1" s="19" t="s">
        <v>141</v>
      </c>
      <c r="K1" s="19" t="s">
        <v>142</v>
      </c>
    </row>
    <row r="2" spans="1:11" ht="28" x14ac:dyDescent="0.25">
      <c r="A2" s="4" t="s">
        <v>39</v>
      </c>
      <c r="B2" s="4" t="s">
        <v>40</v>
      </c>
      <c r="C2" s="4" t="s">
        <v>143</v>
      </c>
      <c r="D2" s="5">
        <v>41.766109785202858</v>
      </c>
      <c r="E2" s="5">
        <v>35</v>
      </c>
      <c r="F2" s="4" t="s">
        <v>144</v>
      </c>
      <c r="G2" s="4" t="s">
        <v>145</v>
      </c>
      <c r="H2" s="4" t="s">
        <v>146</v>
      </c>
      <c r="I2" s="5">
        <v>1.193317422434367</v>
      </c>
      <c r="J2" s="5">
        <v>417661.09785202862</v>
      </c>
      <c r="K2" s="4" t="s">
        <v>147</v>
      </c>
    </row>
    <row r="3" spans="1:11" ht="28" x14ac:dyDescent="0.25">
      <c r="A3" s="4" t="s">
        <v>39</v>
      </c>
      <c r="B3" s="4" t="s">
        <v>49</v>
      </c>
      <c r="C3" s="4" t="s">
        <v>49</v>
      </c>
      <c r="D3" s="5">
        <v>107.3985680190931</v>
      </c>
      <c r="E3" s="5">
        <v>90</v>
      </c>
      <c r="F3" s="4" t="s">
        <v>148</v>
      </c>
      <c r="G3" s="4" t="s">
        <v>145</v>
      </c>
      <c r="H3" s="4" t="s">
        <v>149</v>
      </c>
      <c r="I3" s="5">
        <v>1.193317422434367</v>
      </c>
      <c r="J3" s="5">
        <v>1073985.6801909311</v>
      </c>
      <c r="K3" s="4" t="s">
        <v>147</v>
      </c>
    </row>
    <row r="4" spans="1:11" ht="28" x14ac:dyDescent="0.25">
      <c r="A4" s="4" t="s">
        <v>39</v>
      </c>
      <c r="B4" s="4" t="s">
        <v>64</v>
      </c>
      <c r="C4" s="4" t="s">
        <v>64</v>
      </c>
      <c r="D4" s="5">
        <v>17.89976133651551</v>
      </c>
      <c r="E4" s="5">
        <v>15</v>
      </c>
      <c r="F4" s="4" t="s">
        <v>150</v>
      </c>
      <c r="G4" s="4" t="s">
        <v>151</v>
      </c>
      <c r="H4" s="4" t="s">
        <v>152</v>
      </c>
      <c r="I4" s="5">
        <v>1.193317422434367</v>
      </c>
      <c r="J4" s="5">
        <v>178997.61336515509</v>
      </c>
      <c r="K4" s="4" t="s">
        <v>147</v>
      </c>
    </row>
    <row r="5" spans="1:11" ht="28" x14ac:dyDescent="0.25">
      <c r="A5" s="4" t="s">
        <v>39</v>
      </c>
      <c r="B5" s="4" t="s">
        <v>76</v>
      </c>
      <c r="C5" s="4" t="s">
        <v>76</v>
      </c>
      <c r="D5" s="5">
        <v>22.673031026252978</v>
      </c>
      <c r="E5" s="5">
        <v>19</v>
      </c>
      <c r="F5" s="4" t="s">
        <v>153</v>
      </c>
      <c r="G5" s="4" t="s">
        <v>145</v>
      </c>
      <c r="H5" s="4" t="s">
        <v>154</v>
      </c>
      <c r="I5" s="5">
        <v>1.193317422434367</v>
      </c>
      <c r="J5" s="5">
        <v>226730.31026252979</v>
      </c>
      <c r="K5" s="4" t="s">
        <v>147</v>
      </c>
    </row>
    <row r="6" spans="1:11" ht="28" x14ac:dyDescent="0.25">
      <c r="A6" s="4" t="s">
        <v>83</v>
      </c>
      <c r="B6" s="4" t="s">
        <v>84</v>
      </c>
      <c r="C6" s="4" t="s">
        <v>84</v>
      </c>
      <c r="D6" s="5">
        <v>2.8639618138424821</v>
      </c>
      <c r="E6" s="5">
        <v>2.4</v>
      </c>
      <c r="F6" s="4" t="s">
        <v>155</v>
      </c>
      <c r="G6" s="4" t="s">
        <v>85</v>
      </c>
      <c r="H6" s="4" t="s">
        <v>156</v>
      </c>
      <c r="I6" s="5">
        <v>1.193317422434367</v>
      </c>
      <c r="J6" s="5">
        <v>28639.618138424819</v>
      </c>
      <c r="K6" s="4" t="s">
        <v>147</v>
      </c>
    </row>
    <row r="7" spans="1:11" ht="28" x14ac:dyDescent="0.25">
      <c r="A7" s="4" t="s">
        <v>83</v>
      </c>
      <c r="B7" s="4" t="s">
        <v>89</v>
      </c>
      <c r="C7" s="4" t="s">
        <v>89</v>
      </c>
      <c r="D7" s="5">
        <v>42.959427207637233</v>
      </c>
      <c r="E7" s="5">
        <v>36</v>
      </c>
      <c r="F7" s="4" t="s">
        <v>157</v>
      </c>
      <c r="G7" s="4" t="s">
        <v>158</v>
      </c>
      <c r="H7" s="4" t="s">
        <v>159</v>
      </c>
      <c r="I7" s="5">
        <v>1.193317422434367</v>
      </c>
      <c r="J7" s="5">
        <v>429594.27207637229</v>
      </c>
      <c r="K7" s="4" t="s">
        <v>147</v>
      </c>
    </row>
    <row r="8" spans="1:11" ht="28" x14ac:dyDescent="0.25">
      <c r="A8" s="4" t="s">
        <v>83</v>
      </c>
      <c r="B8" s="4" t="s">
        <v>40</v>
      </c>
      <c r="C8" s="4" t="s">
        <v>40</v>
      </c>
      <c r="D8" s="5">
        <v>12.410501193317421</v>
      </c>
      <c r="E8" s="5">
        <v>10.4</v>
      </c>
      <c r="F8" s="4" t="s">
        <v>160</v>
      </c>
      <c r="G8" s="4" t="s">
        <v>161</v>
      </c>
      <c r="H8" s="4" t="s">
        <v>162</v>
      </c>
      <c r="I8" s="5">
        <v>1.193317422434367</v>
      </c>
      <c r="J8" s="5">
        <v>124105.0119331742</v>
      </c>
      <c r="K8" s="4" t="s">
        <v>147</v>
      </c>
    </row>
    <row r="9" spans="1:11" ht="28" x14ac:dyDescent="0.25">
      <c r="A9" s="4" t="s">
        <v>113</v>
      </c>
      <c r="B9" s="4" t="s">
        <v>114</v>
      </c>
      <c r="C9" s="4" t="s">
        <v>114</v>
      </c>
      <c r="D9" s="5">
        <v>11.45584725536993</v>
      </c>
      <c r="E9" s="5">
        <v>9.6</v>
      </c>
      <c r="F9" s="4" t="s">
        <v>150</v>
      </c>
      <c r="G9" s="4" t="s">
        <v>163</v>
      </c>
      <c r="H9" s="4" t="s">
        <v>164</v>
      </c>
      <c r="I9" s="5">
        <v>1.193317422434367</v>
      </c>
      <c r="J9" s="5">
        <v>114558.47255369931</v>
      </c>
      <c r="K9" s="4" t="s">
        <v>147</v>
      </c>
    </row>
    <row r="10" spans="1:11" ht="28" x14ac:dyDescent="0.25">
      <c r="A10" s="4" t="s">
        <v>113</v>
      </c>
      <c r="B10" s="4" t="s">
        <v>118</v>
      </c>
      <c r="C10" s="4" t="s">
        <v>118</v>
      </c>
      <c r="D10" s="5">
        <v>21.47971360381861</v>
      </c>
      <c r="E10" s="5">
        <v>18</v>
      </c>
      <c r="F10" s="4" t="s">
        <v>165</v>
      </c>
      <c r="G10" s="4" t="s">
        <v>151</v>
      </c>
      <c r="H10" s="4" t="s">
        <v>166</v>
      </c>
      <c r="I10" s="5">
        <v>1.193317422434367</v>
      </c>
      <c r="J10" s="5">
        <v>214797.13603818609</v>
      </c>
      <c r="K10" s="4" t="s">
        <v>147</v>
      </c>
    </row>
    <row r="11" spans="1:11" ht="28" x14ac:dyDescent="0.25">
      <c r="A11" s="4" t="s">
        <v>113</v>
      </c>
      <c r="B11" s="4" t="s">
        <v>40</v>
      </c>
      <c r="C11" s="4" t="s">
        <v>143</v>
      </c>
      <c r="D11" s="5">
        <v>31.74224343675418</v>
      </c>
      <c r="E11" s="5">
        <v>26.6</v>
      </c>
      <c r="F11" s="4" t="s">
        <v>144</v>
      </c>
      <c r="G11" s="4" t="s">
        <v>145</v>
      </c>
      <c r="H11" s="4" t="s">
        <v>146</v>
      </c>
      <c r="I11" s="5">
        <v>1.193317422434367</v>
      </c>
      <c r="J11" s="5">
        <v>317422.43436754169</v>
      </c>
      <c r="K11" s="4" t="s">
        <v>147</v>
      </c>
    </row>
    <row r="12" spans="1:11" ht="28" x14ac:dyDescent="0.25">
      <c r="A12" s="4" t="s">
        <v>122</v>
      </c>
      <c r="B12" s="4" t="s">
        <v>123</v>
      </c>
      <c r="C12" s="4" t="s">
        <v>123</v>
      </c>
      <c r="D12" s="5">
        <v>5.9665871121718368</v>
      </c>
      <c r="E12" s="5">
        <v>5</v>
      </c>
      <c r="F12" s="4" t="s">
        <v>167</v>
      </c>
      <c r="G12" s="4" t="s">
        <v>124</v>
      </c>
      <c r="H12" s="4" t="s">
        <v>168</v>
      </c>
      <c r="I12" s="5">
        <v>1.193317422434367</v>
      </c>
      <c r="J12" s="5">
        <v>59665.871121718374</v>
      </c>
      <c r="K12" s="4" t="s">
        <v>147</v>
      </c>
    </row>
    <row r="13" spans="1:11" ht="28" x14ac:dyDescent="0.25">
      <c r="A13" s="4" t="s">
        <v>122</v>
      </c>
      <c r="B13" s="4" t="s">
        <v>126</v>
      </c>
      <c r="C13" s="4" t="s">
        <v>126</v>
      </c>
      <c r="D13" s="5">
        <v>143.19809069212411</v>
      </c>
      <c r="E13" s="5">
        <v>120</v>
      </c>
      <c r="F13" s="4" t="s">
        <v>169</v>
      </c>
      <c r="G13" s="4" t="s">
        <v>158</v>
      </c>
      <c r="H13" s="4" t="s">
        <v>170</v>
      </c>
      <c r="I13" s="5">
        <v>1.193317422434367</v>
      </c>
      <c r="J13" s="5">
        <v>1431980.906921241</v>
      </c>
      <c r="K13" s="4" t="s">
        <v>147</v>
      </c>
    </row>
    <row r="14" spans="1:11" ht="28" x14ac:dyDescent="0.25">
      <c r="A14" s="4" t="s">
        <v>122</v>
      </c>
      <c r="B14" s="4" t="s">
        <v>129</v>
      </c>
      <c r="C14" s="4" t="s">
        <v>143</v>
      </c>
      <c r="D14" s="5">
        <v>38.186157517899758</v>
      </c>
      <c r="E14" s="5">
        <v>32</v>
      </c>
      <c r="F14" s="4" t="s">
        <v>144</v>
      </c>
      <c r="G14" s="4" t="s">
        <v>171</v>
      </c>
      <c r="H14" s="4" t="s">
        <v>172</v>
      </c>
      <c r="I14" s="5">
        <v>1.193317422434367</v>
      </c>
      <c r="J14" s="5">
        <v>381861.57517899759</v>
      </c>
      <c r="K14" s="4" t="s">
        <v>147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pane ySplit="1" topLeftCell="A2" activePane="bottomLeft" state="frozen"/>
      <selection pane="bottomLeft" activeCell="D12" sqref="D12"/>
    </sheetView>
  </sheetViews>
  <sheetFormatPr defaultRowHeight="14" x14ac:dyDescent="0.25"/>
  <cols>
    <col min="1" max="1" width="13" customWidth="1"/>
    <col min="2" max="2" width="11" customWidth="1"/>
    <col min="3" max="3" width="20" customWidth="1"/>
    <col min="4" max="4" width="13" customWidth="1"/>
    <col min="5" max="5" width="10" customWidth="1"/>
    <col min="6" max="6" width="21" customWidth="1"/>
    <col min="7" max="7" width="17" customWidth="1"/>
    <col min="8" max="8" width="16" customWidth="1"/>
    <col min="9" max="9" width="31" customWidth="1"/>
    <col min="10" max="10" width="22" customWidth="1"/>
    <col min="11" max="11" width="13" customWidth="1"/>
    <col min="12" max="12" width="14" customWidth="1"/>
  </cols>
  <sheetData>
    <row r="1" spans="1:12" s="20" customFormat="1" ht="28" x14ac:dyDescent="0.25">
      <c r="A1" s="19" t="s">
        <v>173</v>
      </c>
      <c r="B1" s="19" t="s">
        <v>174</v>
      </c>
      <c r="C1" s="19" t="s">
        <v>175</v>
      </c>
      <c r="D1" s="19" t="s">
        <v>176</v>
      </c>
      <c r="E1" s="19" t="s">
        <v>177</v>
      </c>
      <c r="F1" s="19" t="s">
        <v>178</v>
      </c>
      <c r="G1" s="19" t="s">
        <v>179</v>
      </c>
      <c r="H1" s="19" t="s">
        <v>180</v>
      </c>
      <c r="I1" s="19" t="s">
        <v>181</v>
      </c>
      <c r="J1" s="19" t="s">
        <v>182</v>
      </c>
      <c r="K1" s="19" t="s">
        <v>183</v>
      </c>
      <c r="L1" s="19" t="s">
        <v>184</v>
      </c>
    </row>
    <row r="2" spans="1:12" ht="28" x14ac:dyDescent="0.25">
      <c r="A2" s="4" t="s">
        <v>126</v>
      </c>
      <c r="B2" s="4" t="s">
        <v>98</v>
      </c>
      <c r="C2" s="4" t="s">
        <v>185</v>
      </c>
      <c r="D2" s="4" t="s">
        <v>186</v>
      </c>
      <c r="E2" s="4">
        <v>4</v>
      </c>
      <c r="F2" s="4">
        <v>45</v>
      </c>
      <c r="G2" s="4" t="s">
        <v>187</v>
      </c>
      <c r="H2" s="5">
        <v>45</v>
      </c>
      <c r="I2" s="4" t="s">
        <v>188</v>
      </c>
      <c r="J2" s="4" t="s">
        <v>189</v>
      </c>
      <c r="K2" s="4"/>
      <c r="L2" s="4">
        <v>2</v>
      </c>
    </row>
    <row r="3" spans="1:12" x14ac:dyDescent="0.25">
      <c r="A3" s="4" t="s">
        <v>126</v>
      </c>
      <c r="B3" s="4" t="s">
        <v>98</v>
      </c>
      <c r="C3" s="4" t="s">
        <v>190</v>
      </c>
      <c r="D3" s="4" t="s">
        <v>191</v>
      </c>
      <c r="E3" s="4">
        <v>4</v>
      </c>
      <c r="F3" s="4">
        <v>60</v>
      </c>
      <c r="G3" s="4" t="s">
        <v>187</v>
      </c>
      <c r="H3" s="5">
        <v>60</v>
      </c>
      <c r="I3" s="4" t="s">
        <v>192</v>
      </c>
      <c r="J3" s="4" t="s">
        <v>189</v>
      </c>
      <c r="K3" s="4"/>
      <c r="L3" s="4">
        <v>1</v>
      </c>
    </row>
    <row r="4" spans="1:12" ht="28" x14ac:dyDescent="0.25">
      <c r="A4" s="4" t="s">
        <v>126</v>
      </c>
      <c r="B4" s="4" t="s">
        <v>98</v>
      </c>
      <c r="C4" s="4" t="s">
        <v>193</v>
      </c>
      <c r="D4" s="4" t="s">
        <v>194</v>
      </c>
      <c r="E4" s="4">
        <v>4</v>
      </c>
      <c r="F4" s="4">
        <v>35</v>
      </c>
      <c r="G4" s="4" t="s">
        <v>187</v>
      </c>
      <c r="H4" s="5">
        <v>35</v>
      </c>
      <c r="I4" s="4" t="s">
        <v>195</v>
      </c>
      <c r="J4" s="4" t="s">
        <v>189</v>
      </c>
      <c r="K4" s="4"/>
      <c r="L4" s="4">
        <v>3</v>
      </c>
    </row>
    <row r="5" spans="1:12" ht="28" x14ac:dyDescent="0.25">
      <c r="A5" s="4" t="s">
        <v>126</v>
      </c>
      <c r="B5" s="4" t="s">
        <v>47</v>
      </c>
      <c r="C5" s="4" t="s">
        <v>196</v>
      </c>
      <c r="D5" s="4" t="s">
        <v>197</v>
      </c>
      <c r="E5" s="4">
        <v>7</v>
      </c>
      <c r="F5" s="4">
        <v>45</v>
      </c>
      <c r="G5" s="4" t="s">
        <v>187</v>
      </c>
      <c r="H5" s="5">
        <v>45</v>
      </c>
      <c r="I5" s="4" t="s">
        <v>198</v>
      </c>
      <c r="J5" s="4" t="s">
        <v>189</v>
      </c>
      <c r="K5" s="4" t="s">
        <v>199</v>
      </c>
      <c r="L5" s="4">
        <v>2</v>
      </c>
    </row>
    <row r="6" spans="1:12" ht="28" x14ac:dyDescent="0.25">
      <c r="A6" s="4" t="s">
        <v>126</v>
      </c>
      <c r="B6" s="4" t="s">
        <v>47</v>
      </c>
      <c r="C6" s="4" t="s">
        <v>200</v>
      </c>
      <c r="D6" s="4" t="s">
        <v>201</v>
      </c>
      <c r="E6" s="4">
        <v>7</v>
      </c>
      <c r="F6" s="4">
        <v>55</v>
      </c>
      <c r="G6" s="4" t="s">
        <v>187</v>
      </c>
      <c r="H6" s="5">
        <v>55</v>
      </c>
      <c r="I6" s="4" t="s">
        <v>202</v>
      </c>
      <c r="J6" s="4" t="s">
        <v>189</v>
      </c>
      <c r="K6" s="4" t="s">
        <v>203</v>
      </c>
      <c r="L6" s="4">
        <v>1</v>
      </c>
    </row>
    <row r="7" spans="1:12" x14ac:dyDescent="0.25">
      <c r="A7" s="4" t="s">
        <v>126</v>
      </c>
      <c r="B7" s="4" t="s">
        <v>85</v>
      </c>
      <c r="C7" s="4" t="s">
        <v>204</v>
      </c>
      <c r="D7" s="4" t="s">
        <v>191</v>
      </c>
      <c r="E7" s="4">
        <v>7</v>
      </c>
      <c r="F7" s="4">
        <v>40</v>
      </c>
      <c r="G7" s="4" t="s">
        <v>187</v>
      </c>
      <c r="H7" s="5">
        <v>40</v>
      </c>
      <c r="I7" s="4" t="s">
        <v>192</v>
      </c>
      <c r="J7" s="4" t="s">
        <v>189</v>
      </c>
      <c r="K7" s="4"/>
      <c r="L7" s="4">
        <v>1</v>
      </c>
    </row>
    <row r="8" spans="1:12" ht="28" x14ac:dyDescent="0.25">
      <c r="A8" s="4" t="s">
        <v>126</v>
      </c>
      <c r="B8" s="4" t="s">
        <v>94</v>
      </c>
      <c r="C8" s="4" t="s">
        <v>205</v>
      </c>
      <c r="D8" s="4" t="s">
        <v>206</v>
      </c>
      <c r="E8" s="4">
        <v>7</v>
      </c>
      <c r="F8" s="4">
        <v>50</v>
      </c>
      <c r="G8" s="4" t="s">
        <v>187</v>
      </c>
      <c r="H8" s="5">
        <v>50</v>
      </c>
      <c r="I8" s="4" t="s">
        <v>207</v>
      </c>
      <c r="J8" s="4" t="s">
        <v>189</v>
      </c>
      <c r="K8" s="4" t="s">
        <v>208</v>
      </c>
      <c r="L8" s="4">
        <v>1</v>
      </c>
    </row>
    <row r="9" spans="1:12" ht="28" x14ac:dyDescent="0.25">
      <c r="A9" s="4" t="s">
        <v>49</v>
      </c>
      <c r="B9" s="4" t="s">
        <v>41</v>
      </c>
      <c r="C9" s="4" t="s">
        <v>209</v>
      </c>
      <c r="D9" s="4" t="s">
        <v>210</v>
      </c>
      <c r="E9" s="4">
        <v>3</v>
      </c>
      <c r="F9" s="4">
        <v>100</v>
      </c>
      <c r="G9" s="4" t="s">
        <v>187</v>
      </c>
      <c r="H9" s="5">
        <v>100</v>
      </c>
      <c r="I9" s="4" t="s">
        <v>211</v>
      </c>
      <c r="J9" s="4" t="s">
        <v>189</v>
      </c>
      <c r="K9" s="4"/>
      <c r="L9" s="4">
        <v>1</v>
      </c>
    </row>
    <row r="10" spans="1:12" x14ac:dyDescent="0.25">
      <c r="A10" s="4" t="s">
        <v>49</v>
      </c>
      <c r="B10" s="4" t="s">
        <v>41</v>
      </c>
      <c r="C10" s="4" t="s">
        <v>212</v>
      </c>
      <c r="D10" s="4" t="s">
        <v>213</v>
      </c>
      <c r="E10" s="4">
        <v>6</v>
      </c>
      <c r="F10" s="4">
        <v>50</v>
      </c>
      <c r="G10" s="4" t="s">
        <v>187</v>
      </c>
      <c r="H10" s="5">
        <v>50</v>
      </c>
      <c r="I10" s="4" t="s">
        <v>214</v>
      </c>
      <c r="J10" s="4" t="s">
        <v>189</v>
      </c>
      <c r="K10" s="4"/>
      <c r="L10" s="4">
        <v>3</v>
      </c>
    </row>
    <row r="11" spans="1:12" x14ac:dyDescent="0.25">
      <c r="A11" s="4" t="s">
        <v>49</v>
      </c>
      <c r="B11" s="4" t="s">
        <v>41</v>
      </c>
      <c r="C11" s="4" t="s">
        <v>215</v>
      </c>
      <c r="D11" s="4" t="s">
        <v>216</v>
      </c>
      <c r="E11" s="4">
        <v>6</v>
      </c>
      <c r="F11" s="4">
        <v>50</v>
      </c>
      <c r="G11" s="4" t="s">
        <v>187</v>
      </c>
      <c r="H11" s="5">
        <v>50</v>
      </c>
      <c r="I11" s="4" t="s">
        <v>217</v>
      </c>
      <c r="J11" s="4" t="s">
        <v>189</v>
      </c>
      <c r="K11" s="4"/>
      <c r="L11" s="4">
        <v>2</v>
      </c>
    </row>
    <row r="12" spans="1:12" ht="28" x14ac:dyDescent="0.25">
      <c r="A12" s="4" t="s">
        <v>49</v>
      </c>
      <c r="B12" s="4" t="s">
        <v>47</v>
      </c>
      <c r="C12" s="4" t="s">
        <v>218</v>
      </c>
      <c r="D12" s="4" t="s">
        <v>201</v>
      </c>
      <c r="E12" s="4">
        <v>9</v>
      </c>
      <c r="F12" s="4">
        <v>80</v>
      </c>
      <c r="G12" s="4" t="s">
        <v>187</v>
      </c>
      <c r="H12" s="5">
        <v>80</v>
      </c>
      <c r="I12" s="4" t="s">
        <v>202</v>
      </c>
      <c r="J12" s="4" t="s">
        <v>189</v>
      </c>
      <c r="K12" s="4" t="s">
        <v>219</v>
      </c>
      <c r="L12" s="4">
        <v>1</v>
      </c>
    </row>
    <row r="13" spans="1:12" ht="28" x14ac:dyDescent="0.25">
      <c r="A13" s="4" t="s">
        <v>49</v>
      </c>
      <c r="B13" s="4" t="s">
        <v>47</v>
      </c>
      <c r="C13" s="4" t="s">
        <v>220</v>
      </c>
      <c r="D13" s="4" t="s">
        <v>221</v>
      </c>
      <c r="E13" s="4">
        <v>9</v>
      </c>
      <c r="F13" s="4">
        <v>80</v>
      </c>
      <c r="G13" s="4" t="s">
        <v>187</v>
      </c>
      <c r="H13" s="5">
        <v>80</v>
      </c>
      <c r="I13" s="4" t="s">
        <v>222</v>
      </c>
      <c r="J13" s="4" t="s">
        <v>189</v>
      </c>
      <c r="K13" s="4" t="s">
        <v>208</v>
      </c>
      <c r="L13" s="4">
        <v>2</v>
      </c>
    </row>
    <row r="14" spans="1:12" x14ac:dyDescent="0.25">
      <c r="A14" s="4" t="s">
        <v>64</v>
      </c>
      <c r="B14" s="4" t="s">
        <v>65</v>
      </c>
      <c r="C14" s="4" t="s">
        <v>223</v>
      </c>
      <c r="D14" s="4" t="s">
        <v>30</v>
      </c>
      <c r="E14" s="4">
        <v>8</v>
      </c>
      <c r="F14" s="4">
        <v>35</v>
      </c>
      <c r="G14" s="4" t="s">
        <v>187</v>
      </c>
      <c r="H14" s="5">
        <v>35</v>
      </c>
      <c r="I14" s="4" t="s">
        <v>224</v>
      </c>
      <c r="J14" s="4" t="s">
        <v>189</v>
      </c>
      <c r="K14" s="4"/>
      <c r="L14" s="4">
        <v>1</v>
      </c>
    </row>
    <row r="15" spans="1:12" ht="28" x14ac:dyDescent="0.25">
      <c r="A15" s="4" t="s">
        <v>64</v>
      </c>
      <c r="B15" s="4" t="s">
        <v>71</v>
      </c>
      <c r="C15" s="4" t="s">
        <v>225</v>
      </c>
      <c r="D15" s="4" t="s">
        <v>226</v>
      </c>
      <c r="E15" s="4">
        <v>15</v>
      </c>
      <c r="F15" s="4">
        <v>40</v>
      </c>
      <c r="G15" s="4" t="s">
        <v>187</v>
      </c>
      <c r="H15" s="5">
        <v>40</v>
      </c>
      <c r="I15" s="4" t="s">
        <v>227</v>
      </c>
      <c r="J15" s="4" t="s">
        <v>189</v>
      </c>
      <c r="K15" s="4" t="s">
        <v>228</v>
      </c>
      <c r="L15" s="4">
        <v>1</v>
      </c>
    </row>
    <row r="16" spans="1:12" ht="28" x14ac:dyDescent="0.25">
      <c r="A16" s="4" t="s">
        <v>64</v>
      </c>
      <c r="B16" s="4" t="s">
        <v>71</v>
      </c>
      <c r="C16" s="4" t="s">
        <v>229</v>
      </c>
      <c r="D16" s="4" t="s">
        <v>230</v>
      </c>
      <c r="E16" s="4">
        <v>18</v>
      </c>
      <c r="F16" s="4">
        <v>35</v>
      </c>
      <c r="G16" s="4" t="s">
        <v>187</v>
      </c>
      <c r="H16" s="5">
        <v>35</v>
      </c>
      <c r="I16" s="4" t="s">
        <v>231</v>
      </c>
      <c r="J16" s="4" t="s">
        <v>189</v>
      </c>
      <c r="K16" s="4" t="s">
        <v>232</v>
      </c>
      <c r="L16" s="4">
        <v>2</v>
      </c>
    </row>
    <row r="17" spans="1:12" x14ac:dyDescent="0.25">
      <c r="A17" s="4" t="s">
        <v>76</v>
      </c>
      <c r="B17" s="4" t="s">
        <v>41</v>
      </c>
      <c r="C17" s="4" t="s">
        <v>233</v>
      </c>
      <c r="D17" s="4" t="s">
        <v>28</v>
      </c>
      <c r="E17" s="4">
        <v>4</v>
      </c>
      <c r="F17" s="4">
        <v>60</v>
      </c>
      <c r="G17" s="4" t="s">
        <v>187</v>
      </c>
      <c r="H17" s="5">
        <v>60</v>
      </c>
      <c r="I17" s="4" t="s">
        <v>217</v>
      </c>
      <c r="J17" s="4" t="s">
        <v>189</v>
      </c>
      <c r="K17" s="4"/>
      <c r="L17" s="4">
        <v>1</v>
      </c>
    </row>
    <row r="18" spans="1:12" ht="28" x14ac:dyDescent="0.25">
      <c r="A18" s="4" t="s">
        <v>76</v>
      </c>
      <c r="B18" s="4" t="s">
        <v>47</v>
      </c>
      <c r="C18" s="4" t="s">
        <v>234</v>
      </c>
      <c r="D18" s="4" t="s">
        <v>235</v>
      </c>
      <c r="E18" s="4">
        <v>9</v>
      </c>
      <c r="F18" s="4">
        <v>50</v>
      </c>
      <c r="G18" s="4" t="s">
        <v>187</v>
      </c>
      <c r="H18" s="5">
        <v>50</v>
      </c>
      <c r="I18" s="4" t="s">
        <v>236</v>
      </c>
      <c r="J18" s="4" t="s">
        <v>189</v>
      </c>
      <c r="K18" s="4" t="s">
        <v>237</v>
      </c>
      <c r="L18" s="4">
        <v>2</v>
      </c>
    </row>
    <row r="19" spans="1:12" ht="28" x14ac:dyDescent="0.25">
      <c r="A19" s="4" t="s">
        <v>76</v>
      </c>
      <c r="B19" s="4" t="s">
        <v>47</v>
      </c>
      <c r="C19" s="4" t="s">
        <v>238</v>
      </c>
      <c r="D19" s="4" t="s">
        <v>201</v>
      </c>
      <c r="E19" s="4">
        <v>9</v>
      </c>
      <c r="F19" s="4">
        <v>50</v>
      </c>
      <c r="G19" s="4" t="s">
        <v>187</v>
      </c>
      <c r="H19" s="5">
        <v>50</v>
      </c>
      <c r="I19" s="4" t="s">
        <v>202</v>
      </c>
      <c r="J19" s="4" t="s">
        <v>189</v>
      </c>
      <c r="K19" s="4" t="s">
        <v>239</v>
      </c>
      <c r="L19" s="4">
        <v>1</v>
      </c>
    </row>
    <row r="20" spans="1:12" x14ac:dyDescent="0.25">
      <c r="A20" s="4" t="s">
        <v>84</v>
      </c>
      <c r="B20" s="4" t="s">
        <v>85</v>
      </c>
      <c r="C20" s="4" t="s">
        <v>240</v>
      </c>
      <c r="D20" s="4" t="s">
        <v>191</v>
      </c>
      <c r="E20" s="4">
        <v>13</v>
      </c>
      <c r="F20" s="4">
        <v>30</v>
      </c>
      <c r="G20" s="4" t="s">
        <v>187</v>
      </c>
      <c r="H20" s="5">
        <v>30</v>
      </c>
      <c r="I20" s="4" t="s">
        <v>192</v>
      </c>
      <c r="J20" s="4" t="s">
        <v>189</v>
      </c>
      <c r="K20" s="4"/>
      <c r="L20" s="4">
        <v>1</v>
      </c>
    </row>
    <row r="21" spans="1:12" x14ac:dyDescent="0.25">
      <c r="A21" s="4" t="s">
        <v>84</v>
      </c>
      <c r="B21" s="4" t="s">
        <v>85</v>
      </c>
      <c r="C21" s="4" t="s">
        <v>241</v>
      </c>
      <c r="D21" s="4" t="s">
        <v>242</v>
      </c>
      <c r="E21" s="4">
        <v>15</v>
      </c>
      <c r="F21" s="4">
        <v>25</v>
      </c>
      <c r="G21" s="4" t="s">
        <v>187</v>
      </c>
      <c r="H21" s="5">
        <v>25</v>
      </c>
      <c r="I21" s="4" t="s">
        <v>189</v>
      </c>
      <c r="J21" s="4" t="s">
        <v>189</v>
      </c>
      <c r="K21" s="4"/>
      <c r="L21" s="4">
        <v>2</v>
      </c>
    </row>
    <row r="22" spans="1:12" ht="28" x14ac:dyDescent="0.25">
      <c r="A22" s="4" t="s">
        <v>89</v>
      </c>
      <c r="B22" s="4" t="s">
        <v>85</v>
      </c>
      <c r="C22" s="4" t="s">
        <v>243</v>
      </c>
      <c r="D22" s="4" t="s">
        <v>244</v>
      </c>
      <c r="E22" s="4">
        <v>5</v>
      </c>
      <c r="F22" s="4">
        <v>65</v>
      </c>
      <c r="G22" s="4" t="s">
        <v>187</v>
      </c>
      <c r="H22" s="5">
        <v>65</v>
      </c>
      <c r="I22" s="4" t="s">
        <v>192</v>
      </c>
      <c r="J22" s="4" t="s">
        <v>189</v>
      </c>
      <c r="K22" s="4"/>
      <c r="L22" s="4">
        <v>1</v>
      </c>
    </row>
    <row r="23" spans="1:12" ht="28" x14ac:dyDescent="0.25">
      <c r="A23" s="4" t="s">
        <v>89</v>
      </c>
      <c r="B23" s="4" t="s">
        <v>94</v>
      </c>
      <c r="C23" s="4" t="s">
        <v>245</v>
      </c>
      <c r="D23" s="4" t="s">
        <v>244</v>
      </c>
      <c r="E23" s="4">
        <v>5</v>
      </c>
      <c r="F23" s="4">
        <v>70</v>
      </c>
      <c r="G23" s="4" t="s">
        <v>187</v>
      </c>
      <c r="H23" s="5">
        <v>70</v>
      </c>
      <c r="I23" s="4" t="s">
        <v>246</v>
      </c>
      <c r="J23" s="4" t="s">
        <v>247</v>
      </c>
      <c r="K23" s="4" t="s">
        <v>248</v>
      </c>
      <c r="L23" s="4">
        <v>1</v>
      </c>
    </row>
    <row r="24" spans="1:12" x14ac:dyDescent="0.25">
      <c r="A24" s="4" t="s">
        <v>89</v>
      </c>
      <c r="B24" s="4" t="s">
        <v>98</v>
      </c>
      <c r="C24" s="4" t="s">
        <v>249</v>
      </c>
      <c r="D24" s="4" t="s">
        <v>31</v>
      </c>
      <c r="E24" s="4">
        <v>2</v>
      </c>
      <c r="F24" s="4">
        <v>150</v>
      </c>
      <c r="G24" s="4" t="s">
        <v>187</v>
      </c>
      <c r="H24" s="5">
        <v>150</v>
      </c>
      <c r="I24" s="4" t="s">
        <v>250</v>
      </c>
      <c r="J24" s="4" t="s">
        <v>189</v>
      </c>
      <c r="K24" s="4"/>
      <c r="L24" s="4">
        <v>1</v>
      </c>
    </row>
    <row r="25" spans="1:12" x14ac:dyDescent="0.25">
      <c r="A25" s="4" t="s">
        <v>89</v>
      </c>
      <c r="B25" s="4" t="s">
        <v>98</v>
      </c>
      <c r="C25" s="4" t="s">
        <v>251</v>
      </c>
      <c r="D25" s="4" t="s">
        <v>252</v>
      </c>
      <c r="E25" s="4">
        <v>2</v>
      </c>
      <c r="F25" s="4">
        <v>75</v>
      </c>
      <c r="G25" s="4" t="s">
        <v>187</v>
      </c>
      <c r="H25" s="5">
        <v>75</v>
      </c>
      <c r="I25" s="4" t="s">
        <v>217</v>
      </c>
      <c r="J25" s="4" t="s">
        <v>189</v>
      </c>
      <c r="K25" s="4"/>
      <c r="L25" s="4">
        <v>2</v>
      </c>
    </row>
    <row r="26" spans="1:12" x14ac:dyDescent="0.25">
      <c r="A26" s="4" t="s">
        <v>114</v>
      </c>
      <c r="B26" s="4" t="s">
        <v>115</v>
      </c>
      <c r="C26" s="4" t="s">
        <v>253</v>
      </c>
      <c r="D26" s="4" t="s">
        <v>191</v>
      </c>
      <c r="E26" s="4">
        <v>13</v>
      </c>
      <c r="F26" s="4">
        <v>50</v>
      </c>
      <c r="G26" s="4" t="s">
        <v>187</v>
      </c>
      <c r="H26" s="5">
        <v>50</v>
      </c>
      <c r="I26" s="4" t="s">
        <v>192</v>
      </c>
      <c r="J26" s="4" t="s">
        <v>189</v>
      </c>
      <c r="K26" s="4"/>
      <c r="L26" s="4">
        <v>1</v>
      </c>
    </row>
    <row r="27" spans="1:12" x14ac:dyDescent="0.25">
      <c r="A27" s="4" t="s">
        <v>114</v>
      </c>
      <c r="B27" s="4" t="s">
        <v>41</v>
      </c>
      <c r="C27" s="4" t="s">
        <v>254</v>
      </c>
      <c r="D27" s="4" t="s">
        <v>22</v>
      </c>
      <c r="E27" s="4">
        <v>4</v>
      </c>
      <c r="F27" s="4">
        <v>70</v>
      </c>
      <c r="G27" s="4" t="s">
        <v>187</v>
      </c>
      <c r="H27" s="5">
        <v>70</v>
      </c>
      <c r="I27" s="4" t="s">
        <v>255</v>
      </c>
      <c r="J27" s="4" t="s">
        <v>189</v>
      </c>
      <c r="K27" s="4"/>
      <c r="L27" s="4">
        <v>1</v>
      </c>
    </row>
    <row r="28" spans="1:12" ht="28" x14ac:dyDescent="0.25">
      <c r="A28" s="4" t="s">
        <v>114</v>
      </c>
      <c r="B28" s="4" t="s">
        <v>47</v>
      </c>
      <c r="C28" s="4" t="s">
        <v>256</v>
      </c>
      <c r="D28" s="4" t="s">
        <v>201</v>
      </c>
      <c r="E28" s="4">
        <v>15</v>
      </c>
      <c r="F28" s="4">
        <v>80</v>
      </c>
      <c r="G28" s="4" t="s">
        <v>187</v>
      </c>
      <c r="H28" s="5">
        <v>80</v>
      </c>
      <c r="I28" s="4" t="s">
        <v>257</v>
      </c>
      <c r="J28" s="4" t="s">
        <v>189</v>
      </c>
      <c r="K28" s="4" t="s">
        <v>258</v>
      </c>
      <c r="L28" s="4">
        <v>1</v>
      </c>
    </row>
    <row r="29" spans="1:12" x14ac:dyDescent="0.25">
      <c r="A29" s="4" t="s">
        <v>118</v>
      </c>
      <c r="B29" s="4" t="s">
        <v>65</v>
      </c>
      <c r="C29" s="4" t="s">
        <v>259</v>
      </c>
      <c r="D29" s="4" t="s">
        <v>30</v>
      </c>
      <c r="E29" s="4">
        <v>8</v>
      </c>
      <c r="F29" s="4">
        <v>35</v>
      </c>
      <c r="G29" s="4" t="s">
        <v>187</v>
      </c>
      <c r="H29" s="5">
        <v>35</v>
      </c>
      <c r="I29" s="4" t="s">
        <v>224</v>
      </c>
      <c r="J29" s="4" t="s">
        <v>189</v>
      </c>
      <c r="K29" s="4"/>
      <c r="L29" s="4">
        <v>1</v>
      </c>
    </row>
    <row r="30" spans="1:12" ht="28" x14ac:dyDescent="0.25">
      <c r="A30" s="4" t="s">
        <v>118</v>
      </c>
      <c r="B30" s="4" t="s">
        <v>71</v>
      </c>
      <c r="C30" s="4" t="s">
        <v>260</v>
      </c>
      <c r="D30" s="4" t="s">
        <v>261</v>
      </c>
      <c r="E30" s="4">
        <v>15</v>
      </c>
      <c r="F30" s="4">
        <v>45</v>
      </c>
      <c r="G30" s="4" t="s">
        <v>187</v>
      </c>
      <c r="H30" s="5">
        <v>45</v>
      </c>
      <c r="I30" s="4" t="s">
        <v>262</v>
      </c>
      <c r="J30" s="4" t="s">
        <v>189</v>
      </c>
      <c r="K30" s="4"/>
      <c r="L30" s="4">
        <v>1</v>
      </c>
    </row>
    <row r="31" spans="1:12" x14ac:dyDescent="0.25">
      <c r="A31" s="4" t="s">
        <v>118</v>
      </c>
      <c r="B31" s="4" t="s">
        <v>71</v>
      </c>
      <c r="C31" s="4" t="s">
        <v>263</v>
      </c>
      <c r="D31" s="4" t="s">
        <v>242</v>
      </c>
      <c r="E31" s="4">
        <v>17</v>
      </c>
      <c r="F31" s="4">
        <v>40</v>
      </c>
      <c r="G31" s="4" t="s">
        <v>187</v>
      </c>
      <c r="H31" s="5">
        <v>40</v>
      </c>
      <c r="I31" s="4" t="s">
        <v>189</v>
      </c>
      <c r="J31" s="4" t="s">
        <v>189</v>
      </c>
      <c r="K31" s="4"/>
      <c r="L31" s="4">
        <v>2</v>
      </c>
    </row>
    <row r="32" spans="1:12" x14ac:dyDescent="0.25">
      <c r="A32" s="4" t="s">
        <v>40</v>
      </c>
      <c r="B32" s="4" t="s">
        <v>85</v>
      </c>
      <c r="C32" s="4" t="s">
        <v>264</v>
      </c>
      <c r="D32" s="4" t="s">
        <v>191</v>
      </c>
      <c r="E32" s="4">
        <v>13</v>
      </c>
      <c r="F32" s="4">
        <v>25</v>
      </c>
      <c r="G32" s="4" t="s">
        <v>187</v>
      </c>
      <c r="H32" s="5">
        <v>25</v>
      </c>
      <c r="I32" s="4" t="s">
        <v>192</v>
      </c>
      <c r="J32" s="4" t="s">
        <v>189</v>
      </c>
      <c r="K32" s="4"/>
      <c r="L32" s="4">
        <v>1</v>
      </c>
    </row>
    <row r="33" spans="1:12" ht="28" x14ac:dyDescent="0.25">
      <c r="A33" s="4" t="s">
        <v>40</v>
      </c>
      <c r="B33" s="4" t="s">
        <v>106</v>
      </c>
      <c r="C33" s="4" t="s">
        <v>265</v>
      </c>
      <c r="D33" s="4" t="s">
        <v>266</v>
      </c>
      <c r="E33" s="4">
        <v>13</v>
      </c>
      <c r="F33" s="4">
        <v>35</v>
      </c>
      <c r="G33" s="4" t="s">
        <v>187</v>
      </c>
      <c r="H33" s="5">
        <v>35</v>
      </c>
      <c r="I33" s="4" t="s">
        <v>267</v>
      </c>
      <c r="J33" s="4" t="s">
        <v>189</v>
      </c>
      <c r="K33" s="4" t="s">
        <v>239</v>
      </c>
      <c r="L33" s="4">
        <v>1</v>
      </c>
    </row>
    <row r="34" spans="1:12" x14ac:dyDescent="0.25">
      <c r="A34" s="4" t="s">
        <v>40</v>
      </c>
      <c r="B34" s="4" t="s">
        <v>110</v>
      </c>
      <c r="C34" s="4" t="s">
        <v>268</v>
      </c>
      <c r="D34" s="4" t="s">
        <v>30</v>
      </c>
      <c r="E34" s="4">
        <v>6</v>
      </c>
      <c r="F34" s="4">
        <v>25</v>
      </c>
      <c r="G34" s="4" t="s">
        <v>187</v>
      </c>
      <c r="H34" s="5">
        <v>25</v>
      </c>
      <c r="I34" s="4" t="s">
        <v>224</v>
      </c>
      <c r="J34" s="4" t="s">
        <v>189</v>
      </c>
      <c r="K34" s="4"/>
      <c r="L34" s="4">
        <v>1</v>
      </c>
    </row>
    <row r="35" spans="1:12" ht="28" x14ac:dyDescent="0.25">
      <c r="A35" s="4" t="s">
        <v>143</v>
      </c>
      <c r="B35" s="4" t="s">
        <v>41</v>
      </c>
      <c r="C35" s="4" t="s">
        <v>269</v>
      </c>
      <c r="D35" s="4" t="s">
        <v>270</v>
      </c>
      <c r="E35" s="4">
        <v>2</v>
      </c>
      <c r="F35" s="4">
        <v>20</v>
      </c>
      <c r="G35" s="4" t="s">
        <v>271</v>
      </c>
      <c r="H35" s="5">
        <v>200</v>
      </c>
      <c r="I35" s="4" t="s">
        <v>272</v>
      </c>
      <c r="J35" s="4" t="s">
        <v>189</v>
      </c>
      <c r="K35" s="4" t="s">
        <v>273</v>
      </c>
      <c r="L35" s="4">
        <v>1</v>
      </c>
    </row>
    <row r="36" spans="1:12" ht="28" x14ac:dyDescent="0.25">
      <c r="A36" s="4" t="s">
        <v>143</v>
      </c>
      <c r="B36" s="4" t="s">
        <v>98</v>
      </c>
      <c r="C36" s="4" t="s">
        <v>274</v>
      </c>
      <c r="D36" s="4" t="s">
        <v>270</v>
      </c>
      <c r="E36" s="4">
        <v>2</v>
      </c>
      <c r="F36" s="4">
        <v>20</v>
      </c>
      <c r="G36" s="4" t="s">
        <v>271</v>
      </c>
      <c r="H36" s="5">
        <v>200</v>
      </c>
      <c r="I36" s="4" t="s">
        <v>272</v>
      </c>
      <c r="J36" s="4" t="s">
        <v>189</v>
      </c>
      <c r="K36" s="4" t="s">
        <v>273</v>
      </c>
      <c r="L36" s="4">
        <v>1</v>
      </c>
    </row>
    <row r="37" spans="1:12" ht="28" x14ac:dyDescent="0.25">
      <c r="A37" s="4" t="s">
        <v>143</v>
      </c>
      <c r="B37" s="4" t="s">
        <v>41</v>
      </c>
      <c r="C37" s="4" t="s">
        <v>275</v>
      </c>
      <c r="D37" s="4" t="s">
        <v>276</v>
      </c>
      <c r="E37" s="4">
        <v>2</v>
      </c>
      <c r="F37" s="4">
        <v>15</v>
      </c>
      <c r="G37" s="4" t="s">
        <v>271</v>
      </c>
      <c r="H37" s="5">
        <v>150</v>
      </c>
      <c r="I37" s="4" t="s">
        <v>277</v>
      </c>
      <c r="J37" s="4" t="s">
        <v>189</v>
      </c>
      <c r="K37" s="4" t="s">
        <v>278</v>
      </c>
      <c r="L37" s="4">
        <v>2</v>
      </c>
    </row>
    <row r="38" spans="1:12" ht="28" x14ac:dyDescent="0.25">
      <c r="A38" s="4" t="s">
        <v>143</v>
      </c>
      <c r="B38" s="4" t="s">
        <v>98</v>
      </c>
      <c r="C38" s="4" t="s">
        <v>279</v>
      </c>
      <c r="D38" s="4" t="s">
        <v>276</v>
      </c>
      <c r="E38" s="4">
        <v>2</v>
      </c>
      <c r="F38" s="4">
        <v>15</v>
      </c>
      <c r="G38" s="4" t="s">
        <v>271</v>
      </c>
      <c r="H38" s="5">
        <v>150</v>
      </c>
      <c r="I38" s="4" t="s">
        <v>277</v>
      </c>
      <c r="J38" s="4" t="s">
        <v>189</v>
      </c>
      <c r="K38" s="4" t="s">
        <v>278</v>
      </c>
      <c r="L38" s="4">
        <v>2</v>
      </c>
    </row>
    <row r="39" spans="1:12" ht="28" x14ac:dyDescent="0.25">
      <c r="A39" s="4" t="s">
        <v>143</v>
      </c>
      <c r="B39" s="4" t="s">
        <v>47</v>
      </c>
      <c r="C39" s="4" t="s">
        <v>280</v>
      </c>
      <c r="D39" s="4" t="s">
        <v>281</v>
      </c>
      <c r="E39" s="4">
        <v>7</v>
      </c>
      <c r="F39" s="4">
        <v>20</v>
      </c>
      <c r="G39" s="4" t="s">
        <v>271</v>
      </c>
      <c r="H39" s="5">
        <v>200</v>
      </c>
      <c r="I39" s="4" t="s">
        <v>282</v>
      </c>
      <c r="J39" s="4" t="s">
        <v>189</v>
      </c>
      <c r="K39" s="4" t="s">
        <v>283</v>
      </c>
      <c r="L39" s="4">
        <v>1</v>
      </c>
    </row>
    <row r="40" spans="1:12" ht="28" x14ac:dyDescent="0.25">
      <c r="A40" s="4" t="s">
        <v>143</v>
      </c>
      <c r="B40" s="4" t="s">
        <v>94</v>
      </c>
      <c r="C40" s="4" t="s">
        <v>284</v>
      </c>
      <c r="D40" s="4" t="s">
        <v>281</v>
      </c>
      <c r="E40" s="4">
        <v>7</v>
      </c>
      <c r="F40" s="4">
        <v>20</v>
      </c>
      <c r="G40" s="4" t="s">
        <v>271</v>
      </c>
      <c r="H40" s="5">
        <v>200</v>
      </c>
      <c r="I40" s="4" t="s">
        <v>282</v>
      </c>
      <c r="J40" s="4" t="s">
        <v>189</v>
      </c>
      <c r="K40" s="4" t="s">
        <v>283</v>
      </c>
      <c r="L40" s="4">
        <v>1</v>
      </c>
    </row>
    <row r="41" spans="1:12" ht="28" x14ac:dyDescent="0.25">
      <c r="A41" s="4" t="s">
        <v>143</v>
      </c>
      <c r="B41" s="4" t="s">
        <v>47</v>
      </c>
      <c r="C41" s="4" t="s">
        <v>285</v>
      </c>
      <c r="D41" s="4" t="s">
        <v>286</v>
      </c>
      <c r="E41" s="4">
        <v>7</v>
      </c>
      <c r="F41" s="4">
        <v>15</v>
      </c>
      <c r="G41" s="4" t="s">
        <v>271</v>
      </c>
      <c r="H41" s="5">
        <v>150</v>
      </c>
      <c r="I41" s="4" t="s">
        <v>287</v>
      </c>
      <c r="J41" s="4" t="s">
        <v>189</v>
      </c>
      <c r="K41" s="4" t="s">
        <v>288</v>
      </c>
      <c r="L41" s="4">
        <v>2</v>
      </c>
    </row>
    <row r="42" spans="1:12" ht="28" x14ac:dyDescent="0.25">
      <c r="A42" s="4" t="s">
        <v>143</v>
      </c>
      <c r="B42" s="4" t="s">
        <v>94</v>
      </c>
      <c r="C42" s="4" t="s">
        <v>289</v>
      </c>
      <c r="D42" s="4" t="s">
        <v>286</v>
      </c>
      <c r="E42" s="4">
        <v>7</v>
      </c>
      <c r="F42" s="4">
        <v>15</v>
      </c>
      <c r="G42" s="4" t="s">
        <v>271</v>
      </c>
      <c r="H42" s="5">
        <v>150</v>
      </c>
      <c r="I42" s="4" t="s">
        <v>287</v>
      </c>
      <c r="J42" s="4" t="s">
        <v>189</v>
      </c>
      <c r="K42" s="4" t="s">
        <v>288</v>
      </c>
      <c r="L42" s="4">
        <v>2</v>
      </c>
    </row>
    <row r="43" spans="1:12" ht="28" x14ac:dyDescent="0.25">
      <c r="A43" s="4" t="s">
        <v>143</v>
      </c>
      <c r="B43" s="4" t="s">
        <v>47</v>
      </c>
      <c r="C43" s="4" t="s">
        <v>290</v>
      </c>
      <c r="D43" s="4" t="s">
        <v>291</v>
      </c>
      <c r="E43" s="4">
        <v>7</v>
      </c>
      <c r="F43" s="4">
        <v>10</v>
      </c>
      <c r="G43" s="4" t="s">
        <v>271</v>
      </c>
      <c r="H43" s="5">
        <v>100</v>
      </c>
      <c r="I43" s="4" t="s">
        <v>292</v>
      </c>
      <c r="J43" s="4" t="s">
        <v>189</v>
      </c>
      <c r="K43" s="4" t="s">
        <v>293</v>
      </c>
      <c r="L43" s="4">
        <v>3</v>
      </c>
    </row>
    <row r="44" spans="1:12" ht="28" x14ac:dyDescent="0.25">
      <c r="A44" s="4" t="s">
        <v>143</v>
      </c>
      <c r="B44" s="4" t="s">
        <v>94</v>
      </c>
      <c r="C44" s="4" t="s">
        <v>294</v>
      </c>
      <c r="D44" s="4" t="s">
        <v>291</v>
      </c>
      <c r="E44" s="4">
        <v>7</v>
      </c>
      <c r="F44" s="4">
        <v>10</v>
      </c>
      <c r="G44" s="4" t="s">
        <v>271</v>
      </c>
      <c r="H44" s="5">
        <v>100</v>
      </c>
      <c r="I44" s="4" t="s">
        <v>292</v>
      </c>
      <c r="J44" s="4" t="s">
        <v>189</v>
      </c>
      <c r="K44" s="4" t="s">
        <v>293</v>
      </c>
      <c r="L44" s="4">
        <v>3</v>
      </c>
    </row>
    <row r="45" spans="1:12" ht="28" x14ac:dyDescent="0.25">
      <c r="A45" s="4" t="s">
        <v>143</v>
      </c>
      <c r="B45" s="4" t="s">
        <v>106</v>
      </c>
      <c r="C45" s="4" t="s">
        <v>295</v>
      </c>
      <c r="D45" s="4" t="s">
        <v>281</v>
      </c>
      <c r="E45" s="4">
        <v>7</v>
      </c>
      <c r="F45" s="4">
        <v>20</v>
      </c>
      <c r="G45" s="4" t="s">
        <v>271</v>
      </c>
      <c r="H45" s="5">
        <v>200</v>
      </c>
      <c r="I45" s="4" t="s">
        <v>282</v>
      </c>
      <c r="J45" s="4" t="s">
        <v>189</v>
      </c>
      <c r="K45" s="4" t="s">
        <v>296</v>
      </c>
      <c r="L45" s="4">
        <v>1</v>
      </c>
    </row>
    <row r="46" spans="1:12" ht="28" x14ac:dyDescent="0.25">
      <c r="A46" s="4" t="s">
        <v>143</v>
      </c>
      <c r="B46" s="4" t="s">
        <v>106</v>
      </c>
      <c r="C46" s="4" t="s">
        <v>297</v>
      </c>
      <c r="D46" s="4" t="s">
        <v>286</v>
      </c>
      <c r="E46" s="4">
        <v>7</v>
      </c>
      <c r="F46" s="4">
        <v>15</v>
      </c>
      <c r="G46" s="4" t="s">
        <v>271</v>
      </c>
      <c r="H46" s="5">
        <v>150</v>
      </c>
      <c r="I46" s="4" t="s">
        <v>287</v>
      </c>
      <c r="J46" s="4" t="s">
        <v>189</v>
      </c>
      <c r="K46" s="4" t="s">
        <v>298</v>
      </c>
      <c r="L46" s="4">
        <v>2</v>
      </c>
    </row>
    <row r="47" spans="1:12" ht="28" x14ac:dyDescent="0.25">
      <c r="A47" s="4" t="s">
        <v>143</v>
      </c>
      <c r="B47" s="4" t="s">
        <v>106</v>
      </c>
      <c r="C47" s="4" t="s">
        <v>299</v>
      </c>
      <c r="D47" s="4" t="s">
        <v>291</v>
      </c>
      <c r="E47" s="4">
        <v>7</v>
      </c>
      <c r="F47" s="4">
        <v>10</v>
      </c>
      <c r="G47" s="4" t="s">
        <v>271</v>
      </c>
      <c r="H47" s="5">
        <v>100</v>
      </c>
      <c r="I47" s="4" t="s">
        <v>292</v>
      </c>
      <c r="J47" s="4" t="s">
        <v>189</v>
      </c>
      <c r="K47" s="4" t="s">
        <v>293</v>
      </c>
      <c r="L47" s="4">
        <v>3</v>
      </c>
    </row>
    <row r="48" spans="1:12" ht="28" x14ac:dyDescent="0.25">
      <c r="A48" s="4" t="s">
        <v>143</v>
      </c>
      <c r="B48" s="4" t="s">
        <v>110</v>
      </c>
      <c r="C48" s="4" t="s">
        <v>300</v>
      </c>
      <c r="D48" s="4" t="s">
        <v>270</v>
      </c>
      <c r="E48" s="4">
        <v>2</v>
      </c>
      <c r="F48" s="4">
        <v>20</v>
      </c>
      <c r="G48" s="4" t="s">
        <v>271</v>
      </c>
      <c r="H48" s="5">
        <v>200</v>
      </c>
      <c r="I48" s="4" t="s">
        <v>272</v>
      </c>
      <c r="J48" s="4" t="s">
        <v>189</v>
      </c>
      <c r="K48" s="4" t="s">
        <v>301</v>
      </c>
      <c r="L48" s="4">
        <v>1</v>
      </c>
    </row>
    <row r="49" spans="1:12" ht="28" x14ac:dyDescent="0.25">
      <c r="A49" s="4" t="s">
        <v>143</v>
      </c>
      <c r="B49" s="4" t="s">
        <v>110</v>
      </c>
      <c r="C49" s="4" t="s">
        <v>302</v>
      </c>
      <c r="D49" s="4" t="s">
        <v>276</v>
      </c>
      <c r="E49" s="4">
        <v>2</v>
      </c>
      <c r="F49" s="4">
        <v>15</v>
      </c>
      <c r="G49" s="4" t="s">
        <v>271</v>
      </c>
      <c r="H49" s="5">
        <v>150</v>
      </c>
      <c r="I49" s="4" t="s">
        <v>277</v>
      </c>
      <c r="J49" s="4" t="s">
        <v>189</v>
      </c>
      <c r="K49" s="4" t="s">
        <v>301</v>
      </c>
      <c r="L49" s="4">
        <v>2</v>
      </c>
    </row>
    <row r="50" spans="1:12" x14ac:dyDescent="0.25">
      <c r="A50" s="4" t="s">
        <v>123</v>
      </c>
      <c r="B50" s="4" t="s">
        <v>124</v>
      </c>
      <c r="C50" s="4" t="s">
        <v>303</v>
      </c>
      <c r="D50" s="4" t="s">
        <v>191</v>
      </c>
      <c r="E50" s="4">
        <v>15</v>
      </c>
      <c r="F50" s="4">
        <v>30</v>
      </c>
      <c r="G50" s="4" t="s">
        <v>187</v>
      </c>
      <c r="H50" s="5">
        <v>30</v>
      </c>
      <c r="I50" s="4" t="s">
        <v>192</v>
      </c>
      <c r="J50" s="4" t="s">
        <v>189</v>
      </c>
      <c r="K50" s="4"/>
      <c r="L50" s="4">
        <v>1</v>
      </c>
    </row>
    <row r="51" spans="1:12" x14ac:dyDescent="0.25">
      <c r="A51" s="4" t="s">
        <v>123</v>
      </c>
      <c r="B51" s="4" t="s">
        <v>124</v>
      </c>
      <c r="C51" s="4" t="s">
        <v>304</v>
      </c>
      <c r="D51" s="4" t="s">
        <v>242</v>
      </c>
      <c r="E51" s="4">
        <v>17</v>
      </c>
      <c r="F51" s="4">
        <v>30</v>
      </c>
      <c r="G51" s="4" t="s">
        <v>187</v>
      </c>
      <c r="H51" s="5">
        <v>30</v>
      </c>
      <c r="I51" s="4" t="s">
        <v>189</v>
      </c>
      <c r="J51" s="4" t="s">
        <v>189</v>
      </c>
      <c r="K51" s="4"/>
      <c r="L51" s="4">
        <v>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6" width="10" customWidth="1"/>
  </cols>
  <sheetData>
    <row r="1" spans="1:6" s="20" customFormat="1" ht="28" x14ac:dyDescent="0.25">
      <c r="A1" s="19" t="s">
        <v>305</v>
      </c>
      <c r="B1" s="19" t="s">
        <v>306</v>
      </c>
      <c r="C1" s="19" t="s">
        <v>307</v>
      </c>
      <c r="D1" s="19" t="s">
        <v>308</v>
      </c>
      <c r="E1" s="19" t="s">
        <v>309</v>
      </c>
      <c r="F1" s="19" t="s">
        <v>19</v>
      </c>
    </row>
    <row r="2" spans="1:6" x14ac:dyDescent="0.25">
      <c r="A2" s="4" t="s">
        <v>191</v>
      </c>
      <c r="B2" s="4" t="s">
        <v>310</v>
      </c>
      <c r="C2" s="4">
        <v>25</v>
      </c>
      <c r="D2" s="4">
        <v>2</v>
      </c>
      <c r="E2" s="5">
        <v>0.5</v>
      </c>
      <c r="F2" s="4"/>
    </row>
    <row r="3" spans="1:6" x14ac:dyDescent="0.25">
      <c r="A3" s="4" t="s">
        <v>34</v>
      </c>
      <c r="B3" s="4" t="s">
        <v>310</v>
      </c>
      <c r="C3" s="4">
        <v>3</v>
      </c>
      <c r="D3" s="4">
        <v>2</v>
      </c>
      <c r="E3" s="5">
        <v>0.5</v>
      </c>
      <c r="F3" s="4"/>
    </row>
    <row r="4" spans="1:6" x14ac:dyDescent="0.25">
      <c r="A4" s="4" t="s">
        <v>21</v>
      </c>
      <c r="B4" s="4" t="s">
        <v>311</v>
      </c>
      <c r="C4" s="4">
        <v>2</v>
      </c>
      <c r="D4" s="4">
        <v>2</v>
      </c>
      <c r="E4" s="5">
        <v>0.5</v>
      </c>
      <c r="F4" s="4"/>
    </row>
    <row r="5" spans="1:6" x14ac:dyDescent="0.25">
      <c r="A5" s="4" t="s">
        <v>24</v>
      </c>
      <c r="B5" s="4" t="s">
        <v>311</v>
      </c>
      <c r="C5" s="4">
        <v>4</v>
      </c>
      <c r="D5" s="4">
        <v>2</v>
      </c>
      <c r="E5" s="5">
        <v>0.45</v>
      </c>
      <c r="F5" s="4"/>
    </row>
    <row r="6" spans="1:6" x14ac:dyDescent="0.25">
      <c r="A6" s="4" t="s">
        <v>22</v>
      </c>
      <c r="B6" s="4" t="s">
        <v>312</v>
      </c>
      <c r="C6" s="4">
        <v>20</v>
      </c>
      <c r="D6" s="4">
        <v>2</v>
      </c>
      <c r="E6" s="5">
        <v>0.4</v>
      </c>
      <c r="F6" s="4"/>
    </row>
    <row r="7" spans="1:6" x14ac:dyDescent="0.25">
      <c r="A7" s="4" t="s">
        <v>23</v>
      </c>
      <c r="B7" s="4" t="s">
        <v>313</v>
      </c>
      <c r="C7" s="4">
        <v>8</v>
      </c>
      <c r="D7" s="4">
        <v>1</v>
      </c>
      <c r="E7" s="5">
        <v>0.4</v>
      </c>
      <c r="F7" s="4"/>
    </row>
    <row r="8" spans="1:6" x14ac:dyDescent="0.25">
      <c r="A8" s="4" t="s">
        <v>25</v>
      </c>
      <c r="B8" s="4" t="s">
        <v>314</v>
      </c>
      <c r="C8" s="4">
        <v>2</v>
      </c>
      <c r="D8" s="4">
        <v>1</v>
      </c>
      <c r="E8" s="5">
        <v>0.4</v>
      </c>
      <c r="F8" s="4"/>
    </row>
    <row r="9" spans="1:6" x14ac:dyDescent="0.25">
      <c r="A9" s="4" t="s">
        <v>26</v>
      </c>
      <c r="B9" s="4" t="s">
        <v>315</v>
      </c>
      <c r="C9" s="4">
        <v>2</v>
      </c>
      <c r="D9" s="4">
        <v>1</v>
      </c>
      <c r="E9" s="5">
        <v>0.35</v>
      </c>
      <c r="F9" s="4"/>
    </row>
    <row r="10" spans="1:6" x14ac:dyDescent="0.25">
      <c r="A10" s="4" t="s">
        <v>27</v>
      </c>
      <c r="B10" s="4" t="s">
        <v>315</v>
      </c>
      <c r="C10" s="4">
        <v>4</v>
      </c>
      <c r="D10" s="4">
        <v>1</v>
      </c>
      <c r="E10" s="5">
        <v>0.4</v>
      </c>
      <c r="F10" s="4"/>
    </row>
    <row r="11" spans="1:6" x14ac:dyDescent="0.25">
      <c r="A11" s="4" t="s">
        <v>28</v>
      </c>
      <c r="B11" s="4" t="s">
        <v>316</v>
      </c>
      <c r="C11" s="4">
        <v>12</v>
      </c>
      <c r="D11" s="4">
        <v>1</v>
      </c>
      <c r="E11" s="5">
        <v>0.4</v>
      </c>
      <c r="F11" s="4"/>
    </row>
    <row r="12" spans="1:6" x14ac:dyDescent="0.25">
      <c r="A12" s="4" t="s">
        <v>29</v>
      </c>
      <c r="B12" s="4" t="s">
        <v>312</v>
      </c>
      <c r="C12" s="4">
        <v>19</v>
      </c>
      <c r="D12" s="4">
        <v>1</v>
      </c>
      <c r="E12" s="5">
        <v>0.4</v>
      </c>
      <c r="F12" s="4"/>
    </row>
    <row r="13" spans="1:6" x14ac:dyDescent="0.25">
      <c r="A13" s="4" t="s">
        <v>30</v>
      </c>
      <c r="B13" s="4" t="s">
        <v>316</v>
      </c>
      <c r="C13" s="4">
        <v>15</v>
      </c>
      <c r="D13" s="4">
        <v>1</v>
      </c>
      <c r="E13" s="5">
        <v>0.4</v>
      </c>
      <c r="F13" s="4"/>
    </row>
    <row r="14" spans="1:6" x14ac:dyDescent="0.25">
      <c r="A14" s="4" t="s">
        <v>31</v>
      </c>
      <c r="B14" s="4" t="s">
        <v>317</v>
      </c>
      <c r="C14" s="4">
        <v>2</v>
      </c>
      <c r="D14" s="4">
        <v>1</v>
      </c>
      <c r="E14" s="5">
        <v>0.4</v>
      </c>
      <c r="F14" s="4"/>
    </row>
    <row r="15" spans="1:6" x14ac:dyDescent="0.25">
      <c r="A15" s="4" t="s">
        <v>32</v>
      </c>
      <c r="B15" s="4" t="s">
        <v>318</v>
      </c>
      <c r="C15" s="4">
        <v>10</v>
      </c>
      <c r="D15" s="4">
        <v>1</v>
      </c>
      <c r="E15" s="5">
        <v>0.4</v>
      </c>
      <c r="F15" s="4"/>
    </row>
    <row r="16" spans="1:6" x14ac:dyDescent="0.25">
      <c r="A16" s="4" t="s">
        <v>33</v>
      </c>
      <c r="B16" s="4"/>
      <c r="C16" s="4">
        <v>2</v>
      </c>
      <c r="D16" s="4">
        <v>1</v>
      </c>
      <c r="E16" s="5">
        <v>0.4</v>
      </c>
      <c r="F16" s="4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4" width="10" customWidth="1"/>
    <col min="5" max="5" width="20" customWidth="1"/>
    <col min="6" max="6" width="10" customWidth="1"/>
    <col min="7" max="7" width="20" customWidth="1"/>
    <col min="8" max="14" width="10" customWidth="1"/>
    <col min="15" max="15" width="15" customWidth="1"/>
    <col min="16" max="17" width="10" customWidth="1"/>
    <col min="18" max="18" width="31" customWidth="1"/>
  </cols>
  <sheetData>
    <row r="1" spans="1:18" s="20" customFormat="1" ht="28" x14ac:dyDescent="0.25">
      <c r="A1" s="19" t="s">
        <v>319</v>
      </c>
      <c r="B1" s="19" t="s">
        <v>320</v>
      </c>
      <c r="C1" s="19" t="s">
        <v>134</v>
      </c>
      <c r="D1" s="19" t="s">
        <v>135</v>
      </c>
      <c r="E1" s="19" t="s">
        <v>321</v>
      </c>
      <c r="F1" s="19" t="s">
        <v>322</v>
      </c>
      <c r="G1" s="19" t="s">
        <v>323</v>
      </c>
      <c r="H1" s="19" t="s">
        <v>324</v>
      </c>
      <c r="I1" s="19" t="s">
        <v>325</v>
      </c>
      <c r="J1" s="19" t="s">
        <v>326</v>
      </c>
      <c r="K1" s="19" t="s">
        <v>327</v>
      </c>
      <c r="L1" s="19" t="s">
        <v>328</v>
      </c>
      <c r="M1" s="19" t="s">
        <v>329</v>
      </c>
      <c r="N1" s="19" t="s">
        <v>330</v>
      </c>
      <c r="O1" s="19" t="s">
        <v>138</v>
      </c>
      <c r="P1" s="19" t="s">
        <v>331</v>
      </c>
      <c r="Q1" s="19" t="s">
        <v>332</v>
      </c>
      <c r="R1" s="19" t="s">
        <v>19</v>
      </c>
    </row>
    <row r="2" spans="1:18" ht="28" x14ac:dyDescent="0.25">
      <c r="A2" s="4" t="s">
        <v>333</v>
      </c>
      <c r="B2" s="4" t="s">
        <v>39</v>
      </c>
      <c r="C2" s="4" t="s">
        <v>40</v>
      </c>
      <c r="D2" s="4" t="s">
        <v>143</v>
      </c>
      <c r="E2" s="5">
        <v>41.766109785202858</v>
      </c>
      <c r="F2" s="5">
        <v>1</v>
      </c>
      <c r="G2" s="5">
        <v>417661.09785202862</v>
      </c>
      <c r="H2" s="5">
        <v>41.766100000000002</v>
      </c>
      <c r="I2" s="4" t="s">
        <v>145</v>
      </c>
      <c r="J2" s="4" t="b">
        <v>0</v>
      </c>
      <c r="K2" s="4" t="b">
        <v>0</v>
      </c>
      <c r="L2" s="4" t="b">
        <v>1</v>
      </c>
      <c r="M2" s="4" t="b">
        <v>1</v>
      </c>
      <c r="N2" s="4" t="s">
        <v>143</v>
      </c>
      <c r="O2" s="4" t="s">
        <v>144</v>
      </c>
      <c r="P2" s="4" t="s">
        <v>43</v>
      </c>
      <c r="Q2" s="4"/>
      <c r="R2" s="4" t="s">
        <v>146</v>
      </c>
    </row>
    <row r="3" spans="1:18" ht="28" x14ac:dyDescent="0.25">
      <c r="A3" s="4" t="s">
        <v>334</v>
      </c>
      <c r="B3" s="4" t="s">
        <v>39</v>
      </c>
      <c r="C3" s="4" t="s">
        <v>49</v>
      </c>
      <c r="D3" s="4" t="s">
        <v>49</v>
      </c>
      <c r="E3" s="5">
        <v>107.3985680190931</v>
      </c>
      <c r="F3" s="5">
        <v>0.6</v>
      </c>
      <c r="G3" s="5">
        <v>644391.40811455844</v>
      </c>
      <c r="H3" s="5">
        <v>64.439099999999996</v>
      </c>
      <c r="I3" s="4" t="s">
        <v>145</v>
      </c>
      <c r="J3" s="4" t="b">
        <v>0</v>
      </c>
      <c r="K3" s="4" t="b">
        <v>0</v>
      </c>
      <c r="L3" s="4" t="b">
        <v>1</v>
      </c>
      <c r="M3" s="4" t="b">
        <v>0</v>
      </c>
      <c r="N3" s="4" t="s">
        <v>49</v>
      </c>
      <c r="O3" s="4" t="s">
        <v>148</v>
      </c>
      <c r="P3" s="4" t="s">
        <v>51</v>
      </c>
      <c r="Q3" s="4" t="s">
        <v>335</v>
      </c>
      <c r="R3" s="4" t="s">
        <v>336</v>
      </c>
    </row>
    <row r="4" spans="1:18" ht="28" x14ac:dyDescent="0.25">
      <c r="A4" s="4" t="s">
        <v>337</v>
      </c>
      <c r="B4" s="4" t="s">
        <v>39</v>
      </c>
      <c r="C4" s="4" t="s">
        <v>49</v>
      </c>
      <c r="D4" s="4" t="s">
        <v>49</v>
      </c>
      <c r="E4" s="5">
        <v>107.3985680190931</v>
      </c>
      <c r="F4" s="5">
        <v>0.4</v>
      </c>
      <c r="G4" s="5">
        <v>429594.27207637229</v>
      </c>
      <c r="H4" s="5">
        <v>42.959400000000002</v>
      </c>
      <c r="I4" s="4" t="s">
        <v>145</v>
      </c>
      <c r="J4" s="4" t="b">
        <v>0</v>
      </c>
      <c r="K4" s="4" t="b">
        <v>0</v>
      </c>
      <c r="L4" s="4" t="b">
        <v>1</v>
      </c>
      <c r="M4" s="4" t="b">
        <v>0</v>
      </c>
      <c r="N4" s="4" t="s">
        <v>49</v>
      </c>
      <c r="O4" s="4" t="s">
        <v>148</v>
      </c>
      <c r="P4" s="4" t="s">
        <v>51</v>
      </c>
      <c r="Q4" s="4" t="s">
        <v>338</v>
      </c>
      <c r="R4" s="4" t="s">
        <v>339</v>
      </c>
    </row>
    <row r="5" spans="1:18" ht="28" x14ac:dyDescent="0.25">
      <c r="A5" s="4" t="s">
        <v>340</v>
      </c>
      <c r="B5" s="4" t="s">
        <v>39</v>
      </c>
      <c r="C5" s="4" t="s">
        <v>64</v>
      </c>
      <c r="D5" s="4" t="s">
        <v>64</v>
      </c>
      <c r="E5" s="5">
        <v>17.89976133651551</v>
      </c>
      <c r="F5" s="5">
        <v>1</v>
      </c>
      <c r="G5" s="5">
        <v>178997.61336515509</v>
      </c>
      <c r="H5" s="5">
        <v>17.899799999999999</v>
      </c>
      <c r="I5" s="4" t="s">
        <v>151</v>
      </c>
      <c r="J5" s="4" t="b">
        <v>0</v>
      </c>
      <c r="K5" s="4" t="b">
        <v>1</v>
      </c>
      <c r="L5" s="4" t="b">
        <v>0</v>
      </c>
      <c r="M5" s="4" t="b">
        <v>0</v>
      </c>
      <c r="N5" s="4" t="s">
        <v>64</v>
      </c>
      <c r="O5" s="4" t="s">
        <v>150</v>
      </c>
      <c r="P5" s="4"/>
      <c r="Q5" s="4"/>
      <c r="R5" s="4" t="s">
        <v>152</v>
      </c>
    </row>
    <row r="6" spans="1:18" ht="28" x14ac:dyDescent="0.25">
      <c r="A6" s="4" t="s">
        <v>341</v>
      </c>
      <c r="B6" s="4" t="s">
        <v>39</v>
      </c>
      <c r="C6" s="4" t="s">
        <v>76</v>
      </c>
      <c r="D6" s="4" t="s">
        <v>76</v>
      </c>
      <c r="E6" s="5">
        <v>22.673031026252978</v>
      </c>
      <c r="F6" s="5">
        <v>1</v>
      </c>
      <c r="G6" s="5">
        <v>226730.31026252979</v>
      </c>
      <c r="H6" s="5">
        <v>22.672999999999998</v>
      </c>
      <c r="I6" s="4" t="s">
        <v>145</v>
      </c>
      <c r="J6" s="4" t="b">
        <v>0</v>
      </c>
      <c r="K6" s="4" t="b">
        <v>0</v>
      </c>
      <c r="L6" s="4" t="b">
        <v>1</v>
      </c>
      <c r="M6" s="4" t="b">
        <v>0</v>
      </c>
      <c r="N6" s="4" t="s">
        <v>76</v>
      </c>
      <c r="O6" s="4" t="s">
        <v>153</v>
      </c>
      <c r="P6" s="4" t="s">
        <v>51</v>
      </c>
      <c r="Q6" s="4"/>
      <c r="R6" s="4" t="s">
        <v>154</v>
      </c>
    </row>
    <row r="7" spans="1:18" ht="28" x14ac:dyDescent="0.25">
      <c r="A7" s="4" t="s">
        <v>342</v>
      </c>
      <c r="B7" s="4" t="s">
        <v>83</v>
      </c>
      <c r="C7" s="4" t="s">
        <v>84</v>
      </c>
      <c r="D7" s="4" t="s">
        <v>84</v>
      </c>
      <c r="E7" s="5">
        <v>2.8639618138424821</v>
      </c>
      <c r="F7" s="5">
        <v>1</v>
      </c>
      <c r="G7" s="5">
        <v>28639.618138424819</v>
      </c>
      <c r="H7" s="5">
        <v>2.8639999999999999</v>
      </c>
      <c r="I7" s="4" t="s">
        <v>85</v>
      </c>
      <c r="J7" s="4" t="b">
        <v>1</v>
      </c>
      <c r="K7" s="4" t="b">
        <v>0</v>
      </c>
      <c r="L7" s="4" t="b">
        <v>0</v>
      </c>
      <c r="M7" s="4" t="b">
        <v>0</v>
      </c>
      <c r="N7" s="4" t="s">
        <v>84</v>
      </c>
      <c r="O7" s="4" t="s">
        <v>155</v>
      </c>
      <c r="P7" s="4"/>
      <c r="Q7" s="4"/>
      <c r="R7" s="4" t="s">
        <v>156</v>
      </c>
    </row>
    <row r="8" spans="1:18" x14ac:dyDescent="0.25">
      <c r="A8" s="4" t="s">
        <v>343</v>
      </c>
      <c r="B8" s="4" t="s">
        <v>83</v>
      </c>
      <c r="C8" s="4" t="s">
        <v>89</v>
      </c>
      <c r="D8" s="4" t="s">
        <v>89</v>
      </c>
      <c r="E8" s="5">
        <v>42.959427207637233</v>
      </c>
      <c r="F8" s="5">
        <v>0.5</v>
      </c>
      <c r="G8" s="5">
        <v>214797.13603818609</v>
      </c>
      <c r="H8" s="5">
        <v>21.479700000000001</v>
      </c>
      <c r="I8" s="4" t="s">
        <v>85</v>
      </c>
      <c r="J8" s="4" t="b">
        <v>1</v>
      </c>
      <c r="K8" s="4" t="b">
        <v>0</v>
      </c>
      <c r="L8" s="4" t="b">
        <v>0</v>
      </c>
      <c r="M8" s="4" t="b">
        <v>0</v>
      </c>
      <c r="N8" s="4" t="s">
        <v>89</v>
      </c>
      <c r="O8" s="4" t="s">
        <v>157</v>
      </c>
      <c r="P8" s="4"/>
      <c r="Q8" s="4"/>
      <c r="R8" s="4" t="s">
        <v>156</v>
      </c>
    </row>
    <row r="9" spans="1:18" ht="28" x14ac:dyDescent="0.25">
      <c r="A9" s="4" t="s">
        <v>344</v>
      </c>
      <c r="B9" s="4" t="s">
        <v>83</v>
      </c>
      <c r="C9" s="4" t="s">
        <v>89</v>
      </c>
      <c r="D9" s="4" t="s">
        <v>89</v>
      </c>
      <c r="E9" s="5">
        <v>42.959427207637233</v>
      </c>
      <c r="F9" s="5">
        <v>0.5</v>
      </c>
      <c r="G9" s="5">
        <v>214797.13603818609</v>
      </c>
      <c r="H9" s="5">
        <v>21.479700000000001</v>
      </c>
      <c r="I9" s="4" t="s">
        <v>345</v>
      </c>
      <c r="J9" s="4" t="b">
        <v>0</v>
      </c>
      <c r="K9" s="4" t="b">
        <v>0</v>
      </c>
      <c r="L9" s="4" t="b">
        <v>1</v>
      </c>
      <c r="M9" s="4" t="b">
        <v>0</v>
      </c>
      <c r="N9" s="4" t="s">
        <v>89</v>
      </c>
      <c r="O9" s="4" t="s">
        <v>157</v>
      </c>
      <c r="P9" s="4" t="s">
        <v>51</v>
      </c>
      <c r="Q9" s="4"/>
      <c r="R9" s="4" t="s">
        <v>346</v>
      </c>
    </row>
    <row r="10" spans="1:18" x14ac:dyDescent="0.25">
      <c r="A10" s="4" t="s">
        <v>347</v>
      </c>
      <c r="B10" s="4" t="s">
        <v>83</v>
      </c>
      <c r="C10" s="4" t="s">
        <v>40</v>
      </c>
      <c r="D10" s="4" t="s">
        <v>40</v>
      </c>
      <c r="E10" s="5">
        <v>12.410501193317421</v>
      </c>
      <c r="F10" s="5">
        <v>0.25</v>
      </c>
      <c r="G10" s="5">
        <v>31026.252983293562</v>
      </c>
      <c r="H10" s="5">
        <v>3.1025999999999998</v>
      </c>
      <c r="I10" s="4" t="s">
        <v>85</v>
      </c>
      <c r="J10" s="4" t="b">
        <v>1</v>
      </c>
      <c r="K10" s="4" t="b">
        <v>0</v>
      </c>
      <c r="L10" s="4" t="b">
        <v>0</v>
      </c>
      <c r="M10" s="4" t="b">
        <v>0</v>
      </c>
      <c r="N10" s="4" t="s">
        <v>40</v>
      </c>
      <c r="O10" s="4" t="s">
        <v>160</v>
      </c>
      <c r="P10" s="4"/>
      <c r="Q10" s="4"/>
      <c r="R10" s="4" t="s">
        <v>348</v>
      </c>
    </row>
    <row r="11" spans="1:18" ht="28" x14ac:dyDescent="0.25">
      <c r="A11" s="4" t="s">
        <v>349</v>
      </c>
      <c r="B11" s="4" t="s">
        <v>83</v>
      </c>
      <c r="C11" s="4" t="s">
        <v>40</v>
      </c>
      <c r="D11" s="4" t="s">
        <v>40</v>
      </c>
      <c r="E11" s="5">
        <v>12.410501193317421</v>
      </c>
      <c r="F11" s="5">
        <v>0.75</v>
      </c>
      <c r="G11" s="5">
        <v>93078.758949880677</v>
      </c>
      <c r="H11" s="5">
        <v>9.3079000000000001</v>
      </c>
      <c r="I11" s="4" t="s">
        <v>171</v>
      </c>
      <c r="J11" s="4" t="b">
        <v>0</v>
      </c>
      <c r="K11" s="4" t="b">
        <v>1</v>
      </c>
      <c r="L11" s="4" t="b">
        <v>0</v>
      </c>
      <c r="M11" s="4" t="b">
        <v>0</v>
      </c>
      <c r="N11" s="4" t="s">
        <v>40</v>
      </c>
      <c r="O11" s="4" t="s">
        <v>160</v>
      </c>
      <c r="P11" s="4"/>
      <c r="Q11" s="4"/>
      <c r="R11" s="4" t="s">
        <v>350</v>
      </c>
    </row>
    <row r="12" spans="1:18" x14ac:dyDescent="0.25">
      <c r="A12" s="4" t="s">
        <v>351</v>
      </c>
      <c r="B12" s="4" t="s">
        <v>113</v>
      </c>
      <c r="C12" s="4" t="s">
        <v>114</v>
      </c>
      <c r="D12" s="4" t="s">
        <v>114</v>
      </c>
      <c r="E12" s="5">
        <v>11.45584725536993</v>
      </c>
      <c r="F12" s="5">
        <v>0.5</v>
      </c>
      <c r="G12" s="5">
        <v>57279.236276849631</v>
      </c>
      <c r="H12" s="5">
        <v>5.7279</v>
      </c>
      <c r="I12" s="4" t="s">
        <v>115</v>
      </c>
      <c r="J12" s="4" t="b">
        <v>1</v>
      </c>
      <c r="K12" s="4" t="b">
        <v>0</v>
      </c>
      <c r="L12" s="4" t="b">
        <v>0</v>
      </c>
      <c r="M12" s="4" t="b">
        <v>0</v>
      </c>
      <c r="N12" s="4" t="s">
        <v>114</v>
      </c>
      <c r="O12" s="4" t="s">
        <v>150</v>
      </c>
      <c r="P12" s="4"/>
      <c r="Q12" s="4"/>
      <c r="R12" s="4" t="s">
        <v>156</v>
      </c>
    </row>
    <row r="13" spans="1:18" ht="28" x14ac:dyDescent="0.25">
      <c r="A13" s="4" t="s">
        <v>352</v>
      </c>
      <c r="B13" s="4" t="s">
        <v>113</v>
      </c>
      <c r="C13" s="4" t="s">
        <v>114</v>
      </c>
      <c r="D13" s="4" t="s">
        <v>114</v>
      </c>
      <c r="E13" s="5">
        <v>11.45584725536993</v>
      </c>
      <c r="F13" s="5">
        <v>0.5</v>
      </c>
      <c r="G13" s="5">
        <v>57279.236276849631</v>
      </c>
      <c r="H13" s="5">
        <v>5.7279</v>
      </c>
      <c r="I13" s="4" t="s">
        <v>145</v>
      </c>
      <c r="J13" s="4" t="b">
        <v>0</v>
      </c>
      <c r="K13" s="4" t="b">
        <v>0</v>
      </c>
      <c r="L13" s="4" t="b">
        <v>1</v>
      </c>
      <c r="M13" s="4" t="b">
        <v>0</v>
      </c>
      <c r="N13" s="4" t="s">
        <v>114</v>
      </c>
      <c r="O13" s="4" t="s">
        <v>150</v>
      </c>
      <c r="P13" s="4" t="s">
        <v>51</v>
      </c>
      <c r="Q13" s="4"/>
      <c r="R13" s="4" t="s">
        <v>353</v>
      </c>
    </row>
    <row r="14" spans="1:18" ht="28" x14ac:dyDescent="0.25">
      <c r="A14" s="4" t="s">
        <v>354</v>
      </c>
      <c r="B14" s="4" t="s">
        <v>113</v>
      </c>
      <c r="C14" s="4" t="s">
        <v>118</v>
      </c>
      <c r="D14" s="4" t="s">
        <v>118</v>
      </c>
      <c r="E14" s="5">
        <v>21.47971360381861</v>
      </c>
      <c r="F14" s="5">
        <v>1</v>
      </c>
      <c r="G14" s="5">
        <v>214797.13603818609</v>
      </c>
      <c r="H14" s="5">
        <v>21.479700000000001</v>
      </c>
      <c r="I14" s="4" t="s">
        <v>151</v>
      </c>
      <c r="J14" s="4" t="b">
        <v>0</v>
      </c>
      <c r="K14" s="4" t="b">
        <v>1</v>
      </c>
      <c r="L14" s="4" t="b">
        <v>0</v>
      </c>
      <c r="M14" s="4" t="b">
        <v>0</v>
      </c>
      <c r="N14" s="4" t="s">
        <v>118</v>
      </c>
      <c r="O14" s="4" t="s">
        <v>165</v>
      </c>
      <c r="P14" s="4"/>
      <c r="Q14" s="4"/>
      <c r="R14" s="4" t="s">
        <v>166</v>
      </c>
    </row>
    <row r="15" spans="1:18" ht="28" x14ac:dyDescent="0.25">
      <c r="A15" s="4" t="s">
        <v>355</v>
      </c>
      <c r="B15" s="4" t="s">
        <v>113</v>
      </c>
      <c r="C15" s="4" t="s">
        <v>40</v>
      </c>
      <c r="D15" s="4" t="s">
        <v>143</v>
      </c>
      <c r="E15" s="5">
        <v>31.74224343675418</v>
      </c>
      <c r="F15" s="5">
        <v>1</v>
      </c>
      <c r="G15" s="5">
        <v>317422.43436754169</v>
      </c>
      <c r="H15" s="5">
        <v>31.7422</v>
      </c>
      <c r="I15" s="4" t="s">
        <v>145</v>
      </c>
      <c r="J15" s="4" t="b">
        <v>0</v>
      </c>
      <c r="K15" s="4" t="b">
        <v>0</v>
      </c>
      <c r="L15" s="4" t="b">
        <v>1</v>
      </c>
      <c r="M15" s="4" t="b">
        <v>1</v>
      </c>
      <c r="N15" s="4" t="s">
        <v>143</v>
      </c>
      <c r="O15" s="4" t="s">
        <v>144</v>
      </c>
      <c r="P15" s="4" t="s">
        <v>43</v>
      </c>
      <c r="Q15" s="4"/>
      <c r="R15" s="4" t="s">
        <v>146</v>
      </c>
    </row>
    <row r="16" spans="1:18" x14ac:dyDescent="0.25">
      <c r="A16" s="4" t="s">
        <v>356</v>
      </c>
      <c r="B16" s="4" t="s">
        <v>122</v>
      </c>
      <c r="C16" s="4" t="s">
        <v>123</v>
      </c>
      <c r="D16" s="4" t="s">
        <v>123</v>
      </c>
      <c r="E16" s="5">
        <v>5.9665871121718368</v>
      </c>
      <c r="F16" s="5">
        <v>1</v>
      </c>
      <c r="G16" s="5">
        <v>59665.871121718374</v>
      </c>
      <c r="H16" s="5">
        <v>5.9665999999999997</v>
      </c>
      <c r="I16" s="4" t="s">
        <v>124</v>
      </c>
      <c r="J16" s="4" t="b">
        <v>1</v>
      </c>
      <c r="K16" s="4" t="b">
        <v>0</v>
      </c>
      <c r="L16" s="4" t="b">
        <v>0</v>
      </c>
      <c r="M16" s="4" t="b">
        <v>0</v>
      </c>
      <c r="N16" s="4" t="s">
        <v>123</v>
      </c>
      <c r="O16" s="4" t="s">
        <v>167</v>
      </c>
      <c r="P16" s="4"/>
      <c r="Q16" s="4"/>
      <c r="R16" s="4" t="s">
        <v>168</v>
      </c>
    </row>
    <row r="17" spans="1:18" x14ac:dyDescent="0.25">
      <c r="A17" s="4" t="s">
        <v>357</v>
      </c>
      <c r="B17" s="4" t="s">
        <v>122</v>
      </c>
      <c r="C17" s="4" t="s">
        <v>126</v>
      </c>
      <c r="D17" s="4" t="s">
        <v>126</v>
      </c>
      <c r="E17" s="5">
        <v>143.19809069212411</v>
      </c>
      <c r="F17" s="5">
        <v>0.3</v>
      </c>
      <c r="G17" s="5">
        <v>429594.27207637217</v>
      </c>
      <c r="H17" s="5">
        <v>42.959400000000002</v>
      </c>
      <c r="I17" s="4" t="s">
        <v>85</v>
      </c>
      <c r="J17" s="4" t="b">
        <v>1</v>
      </c>
      <c r="K17" s="4" t="b">
        <v>0</v>
      </c>
      <c r="L17" s="4" t="b">
        <v>0</v>
      </c>
      <c r="M17" s="4" t="b">
        <v>0</v>
      </c>
      <c r="N17" s="4" t="s">
        <v>126</v>
      </c>
      <c r="O17" s="4" t="s">
        <v>169</v>
      </c>
      <c r="P17" s="4"/>
      <c r="Q17" s="4"/>
      <c r="R17" s="4" t="s">
        <v>156</v>
      </c>
    </row>
    <row r="18" spans="1:18" ht="28" x14ac:dyDescent="0.25">
      <c r="A18" s="4" t="s">
        <v>358</v>
      </c>
      <c r="B18" s="4" t="s">
        <v>122</v>
      </c>
      <c r="C18" s="4" t="s">
        <v>126</v>
      </c>
      <c r="D18" s="4" t="s">
        <v>126</v>
      </c>
      <c r="E18" s="5">
        <v>143.19809069212411</v>
      </c>
      <c r="F18" s="5">
        <v>0.7</v>
      </c>
      <c r="G18" s="5">
        <v>1002386.634844868</v>
      </c>
      <c r="H18" s="5">
        <v>100.23869999999999</v>
      </c>
      <c r="I18" s="4" t="s">
        <v>345</v>
      </c>
      <c r="J18" s="4" t="b">
        <v>0</v>
      </c>
      <c r="K18" s="4" t="b">
        <v>0</v>
      </c>
      <c r="L18" s="4" t="b">
        <v>1</v>
      </c>
      <c r="M18" s="4" t="b">
        <v>0</v>
      </c>
      <c r="N18" s="4" t="s">
        <v>126</v>
      </c>
      <c r="O18" s="4" t="s">
        <v>169</v>
      </c>
      <c r="P18" s="4" t="s">
        <v>51</v>
      </c>
      <c r="Q18" s="4"/>
      <c r="R18" s="4" t="s">
        <v>346</v>
      </c>
    </row>
    <row r="19" spans="1:18" ht="28" x14ac:dyDescent="0.25">
      <c r="A19" s="4" t="s">
        <v>359</v>
      </c>
      <c r="B19" s="4" t="s">
        <v>122</v>
      </c>
      <c r="C19" s="4" t="s">
        <v>129</v>
      </c>
      <c r="D19" s="4" t="s">
        <v>143</v>
      </c>
      <c r="E19" s="5">
        <v>38.186157517899758</v>
      </c>
      <c r="F19" s="5">
        <v>0.9</v>
      </c>
      <c r="G19" s="5">
        <v>343675.41766109777</v>
      </c>
      <c r="H19" s="5">
        <v>34.3675</v>
      </c>
      <c r="I19" s="4" t="s">
        <v>171</v>
      </c>
      <c r="J19" s="4" t="b">
        <v>0</v>
      </c>
      <c r="K19" s="4" t="b">
        <v>1</v>
      </c>
      <c r="L19" s="4" t="b">
        <v>0</v>
      </c>
      <c r="M19" s="4" t="b">
        <v>1</v>
      </c>
      <c r="N19" s="4" t="s">
        <v>143</v>
      </c>
      <c r="O19" s="4" t="s">
        <v>144</v>
      </c>
      <c r="P19" s="4"/>
      <c r="Q19" s="4" t="s">
        <v>360</v>
      </c>
      <c r="R19" s="4" t="s">
        <v>361</v>
      </c>
    </row>
    <row r="20" spans="1:18" ht="28" x14ac:dyDescent="0.25">
      <c r="A20" s="4" t="s">
        <v>362</v>
      </c>
      <c r="B20" s="4" t="s">
        <v>122</v>
      </c>
      <c r="C20" s="4" t="s">
        <v>129</v>
      </c>
      <c r="D20" s="4" t="s">
        <v>143</v>
      </c>
      <c r="E20" s="5">
        <v>38.186157517899758</v>
      </c>
      <c r="F20" s="5">
        <v>0.1</v>
      </c>
      <c r="G20" s="5">
        <v>38186.157517899759</v>
      </c>
      <c r="H20" s="5">
        <v>3.8186</v>
      </c>
      <c r="I20" s="4" t="s">
        <v>171</v>
      </c>
      <c r="J20" s="4" t="b">
        <v>0</v>
      </c>
      <c r="K20" s="4" t="b">
        <v>1</v>
      </c>
      <c r="L20" s="4" t="b">
        <v>0</v>
      </c>
      <c r="M20" s="4" t="b">
        <v>1</v>
      </c>
      <c r="N20" s="4" t="s">
        <v>143</v>
      </c>
      <c r="O20" s="4" t="s">
        <v>144</v>
      </c>
      <c r="P20" s="4"/>
      <c r="Q20" s="4" t="s">
        <v>363</v>
      </c>
      <c r="R20" s="4" t="s">
        <v>364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3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7" width="10" customWidth="1"/>
    <col min="8" max="8" width="12" customWidth="1"/>
    <col min="9" max="9" width="10" customWidth="1"/>
    <col min="10" max="10" width="16" customWidth="1"/>
    <col min="11" max="13" width="20" customWidth="1"/>
    <col min="14" max="14" width="10" customWidth="1"/>
    <col min="15" max="15" width="31" customWidth="1"/>
  </cols>
  <sheetData>
    <row r="1" spans="1:15" s="20" customFormat="1" ht="28" x14ac:dyDescent="0.25">
      <c r="A1" s="19" t="s">
        <v>365</v>
      </c>
      <c r="B1" s="19" t="s">
        <v>319</v>
      </c>
      <c r="C1" s="19" t="s">
        <v>3</v>
      </c>
      <c r="D1" s="19" t="s">
        <v>134</v>
      </c>
      <c r="E1" s="19" t="s">
        <v>135</v>
      </c>
      <c r="F1" s="19" t="s">
        <v>6</v>
      </c>
      <c r="G1" s="19" t="s">
        <v>366</v>
      </c>
      <c r="H1" s="19" t="s">
        <v>176</v>
      </c>
      <c r="I1" s="19" t="s">
        <v>10</v>
      </c>
      <c r="J1" s="19" t="s">
        <v>180</v>
      </c>
      <c r="K1" s="19" t="s">
        <v>9</v>
      </c>
      <c r="L1" s="19" t="s">
        <v>11</v>
      </c>
      <c r="M1" s="19" t="s">
        <v>367</v>
      </c>
      <c r="N1" s="19" t="s">
        <v>331</v>
      </c>
      <c r="O1" s="19" t="s">
        <v>19</v>
      </c>
    </row>
    <row r="2" spans="1:15" x14ac:dyDescent="0.25">
      <c r="A2" s="4" t="s">
        <v>368</v>
      </c>
      <c r="B2" s="4" t="s">
        <v>333</v>
      </c>
      <c r="C2" s="4" t="s">
        <v>39</v>
      </c>
      <c r="D2" s="4" t="s">
        <v>40</v>
      </c>
      <c r="E2" s="4" t="s">
        <v>143</v>
      </c>
      <c r="F2" s="4" t="s">
        <v>41</v>
      </c>
      <c r="G2" s="5">
        <v>41.766100000000002</v>
      </c>
      <c r="H2" s="4" t="s">
        <v>270</v>
      </c>
      <c r="I2" s="4">
        <v>2</v>
      </c>
      <c r="J2" s="5">
        <v>200</v>
      </c>
      <c r="K2" s="5">
        <v>2088.3054892601431</v>
      </c>
      <c r="L2" s="5">
        <v>4176.6109785202852</v>
      </c>
      <c r="M2" s="5">
        <v>2088.3054892601431</v>
      </c>
      <c r="N2" s="4" t="s">
        <v>43</v>
      </c>
      <c r="O2" s="4" t="s">
        <v>146</v>
      </c>
    </row>
    <row r="3" spans="1:15" ht="28" x14ac:dyDescent="0.25">
      <c r="A3" s="4" t="s">
        <v>369</v>
      </c>
      <c r="B3" s="4" t="s">
        <v>333</v>
      </c>
      <c r="C3" s="4" t="s">
        <v>39</v>
      </c>
      <c r="D3" s="4" t="s">
        <v>40</v>
      </c>
      <c r="E3" s="4" t="s">
        <v>143</v>
      </c>
      <c r="F3" s="4" t="s">
        <v>47</v>
      </c>
      <c r="G3" s="5">
        <v>41.766100000000002</v>
      </c>
      <c r="H3" s="4" t="s">
        <v>281</v>
      </c>
      <c r="I3" s="4">
        <v>7</v>
      </c>
      <c r="J3" s="5">
        <v>200</v>
      </c>
      <c r="K3" s="5">
        <v>2088.3054892601431</v>
      </c>
      <c r="L3" s="5">
        <v>14618.138424821</v>
      </c>
      <c r="M3" s="5">
        <v>6264.9164677804274</v>
      </c>
      <c r="N3" s="4"/>
      <c r="O3" s="4" t="s">
        <v>146</v>
      </c>
    </row>
    <row r="4" spans="1:15" ht="28" x14ac:dyDescent="0.25">
      <c r="A4" s="4" t="s">
        <v>370</v>
      </c>
      <c r="B4" s="4" t="s">
        <v>334</v>
      </c>
      <c r="C4" s="4" t="s">
        <v>39</v>
      </c>
      <c r="D4" s="4" t="s">
        <v>49</v>
      </c>
      <c r="E4" s="4" t="s">
        <v>49</v>
      </c>
      <c r="F4" s="4" t="s">
        <v>41</v>
      </c>
      <c r="G4" s="5">
        <v>64.439099999999996</v>
      </c>
      <c r="H4" s="4" t="s">
        <v>210</v>
      </c>
      <c r="I4" s="4">
        <v>3</v>
      </c>
      <c r="J4" s="5">
        <v>100</v>
      </c>
      <c r="K4" s="5">
        <v>6443.9140811455854</v>
      </c>
      <c r="L4" s="5">
        <v>19331.742243436751</v>
      </c>
      <c r="M4" s="5">
        <v>6443.9140811455854</v>
      </c>
      <c r="N4" s="4" t="s">
        <v>51</v>
      </c>
      <c r="O4" s="4" t="s">
        <v>336</v>
      </c>
    </row>
    <row r="5" spans="1:15" ht="28" x14ac:dyDescent="0.25">
      <c r="A5" s="4" t="s">
        <v>371</v>
      </c>
      <c r="B5" s="4" t="s">
        <v>334</v>
      </c>
      <c r="C5" s="4" t="s">
        <v>39</v>
      </c>
      <c r="D5" s="4" t="s">
        <v>49</v>
      </c>
      <c r="E5" s="4" t="s">
        <v>49</v>
      </c>
      <c r="F5" s="4" t="s">
        <v>47</v>
      </c>
      <c r="G5" s="5">
        <v>64.439099999999996</v>
      </c>
      <c r="H5" s="4" t="s">
        <v>201</v>
      </c>
      <c r="I5" s="4">
        <v>9</v>
      </c>
      <c r="J5" s="5">
        <v>80</v>
      </c>
      <c r="K5" s="5">
        <v>8054.8926014319804</v>
      </c>
      <c r="L5" s="5">
        <v>72494.033412887831</v>
      </c>
      <c r="M5" s="5">
        <v>32219.570405727922</v>
      </c>
      <c r="N5" s="4"/>
      <c r="O5" s="4" t="s">
        <v>336</v>
      </c>
    </row>
    <row r="6" spans="1:15" ht="28" x14ac:dyDescent="0.25">
      <c r="A6" s="4" t="s">
        <v>372</v>
      </c>
      <c r="B6" s="4" t="s">
        <v>337</v>
      </c>
      <c r="C6" s="4" t="s">
        <v>39</v>
      </c>
      <c r="D6" s="4" t="s">
        <v>49</v>
      </c>
      <c r="E6" s="4" t="s">
        <v>49</v>
      </c>
      <c r="F6" s="4" t="s">
        <v>41</v>
      </c>
      <c r="G6" s="5">
        <v>42.959400000000002</v>
      </c>
      <c r="H6" s="4" t="s">
        <v>216</v>
      </c>
      <c r="I6" s="4">
        <v>6</v>
      </c>
      <c r="J6" s="5">
        <v>50</v>
      </c>
      <c r="K6" s="5">
        <v>8591.8854415274473</v>
      </c>
      <c r="L6" s="5">
        <v>51551.312649164684</v>
      </c>
      <c r="M6" s="5">
        <v>8591.8854415274473</v>
      </c>
      <c r="N6" s="4" t="s">
        <v>51</v>
      </c>
      <c r="O6" s="4" t="s">
        <v>339</v>
      </c>
    </row>
    <row r="7" spans="1:15" ht="28" x14ac:dyDescent="0.25">
      <c r="A7" s="4" t="s">
        <v>373</v>
      </c>
      <c r="B7" s="4" t="s">
        <v>337</v>
      </c>
      <c r="C7" s="4" t="s">
        <v>39</v>
      </c>
      <c r="D7" s="4" t="s">
        <v>49</v>
      </c>
      <c r="E7" s="4" t="s">
        <v>49</v>
      </c>
      <c r="F7" s="4" t="s">
        <v>47</v>
      </c>
      <c r="G7" s="5">
        <v>42.959400000000002</v>
      </c>
      <c r="H7" s="4" t="s">
        <v>201</v>
      </c>
      <c r="I7" s="4">
        <v>9</v>
      </c>
      <c r="J7" s="5">
        <v>80</v>
      </c>
      <c r="K7" s="5">
        <v>5369.9284009546554</v>
      </c>
      <c r="L7" s="5">
        <v>48329.35560859189</v>
      </c>
      <c r="M7" s="5">
        <v>21479.713603818622</v>
      </c>
      <c r="N7" s="4"/>
      <c r="O7" s="4" t="s">
        <v>339</v>
      </c>
    </row>
    <row r="8" spans="1:15" x14ac:dyDescent="0.25">
      <c r="A8" s="4" t="s">
        <v>374</v>
      </c>
      <c r="B8" s="4" t="s">
        <v>340</v>
      </c>
      <c r="C8" s="4" t="s">
        <v>39</v>
      </c>
      <c r="D8" s="4" t="s">
        <v>64</v>
      </c>
      <c r="E8" s="4" t="s">
        <v>64</v>
      </c>
      <c r="F8" s="4" t="s">
        <v>65</v>
      </c>
      <c r="G8" s="5">
        <v>17.899799999999999</v>
      </c>
      <c r="H8" s="4" t="s">
        <v>30</v>
      </c>
      <c r="I8" s="4">
        <v>8</v>
      </c>
      <c r="J8" s="5">
        <v>35</v>
      </c>
      <c r="K8" s="5">
        <v>5114.217524718717</v>
      </c>
      <c r="L8" s="5">
        <v>40913.740197749743</v>
      </c>
      <c r="M8" s="5">
        <v>5114.217524718717</v>
      </c>
      <c r="N8" s="4"/>
      <c r="O8" s="4" t="s">
        <v>152</v>
      </c>
    </row>
    <row r="9" spans="1:15" ht="28" x14ac:dyDescent="0.25">
      <c r="A9" s="4" t="s">
        <v>375</v>
      </c>
      <c r="B9" s="4" t="s">
        <v>340</v>
      </c>
      <c r="C9" s="4" t="s">
        <v>39</v>
      </c>
      <c r="D9" s="4" t="s">
        <v>64</v>
      </c>
      <c r="E9" s="4" t="s">
        <v>64</v>
      </c>
      <c r="F9" s="4" t="s">
        <v>71</v>
      </c>
      <c r="G9" s="5">
        <v>17.899799999999999</v>
      </c>
      <c r="H9" s="4" t="s">
        <v>226</v>
      </c>
      <c r="I9" s="4">
        <v>15</v>
      </c>
      <c r="J9" s="5">
        <v>40</v>
      </c>
      <c r="K9" s="5">
        <v>4474.9403341288771</v>
      </c>
      <c r="L9" s="5">
        <v>67124.105011933163</v>
      </c>
      <c r="M9" s="5">
        <v>22374.701670644379</v>
      </c>
      <c r="N9" s="4"/>
      <c r="O9" s="4" t="s">
        <v>152</v>
      </c>
    </row>
    <row r="10" spans="1:15" x14ac:dyDescent="0.25">
      <c r="A10" s="4" t="s">
        <v>376</v>
      </c>
      <c r="B10" s="4" t="s">
        <v>341</v>
      </c>
      <c r="C10" s="4" t="s">
        <v>39</v>
      </c>
      <c r="D10" s="4" t="s">
        <v>76</v>
      </c>
      <c r="E10" s="4" t="s">
        <v>76</v>
      </c>
      <c r="F10" s="4" t="s">
        <v>41</v>
      </c>
      <c r="G10" s="5">
        <v>22.672999999999998</v>
      </c>
      <c r="H10" s="4" t="s">
        <v>28</v>
      </c>
      <c r="I10" s="4">
        <v>4</v>
      </c>
      <c r="J10" s="5">
        <v>60</v>
      </c>
      <c r="K10" s="5">
        <v>3778.838504375497</v>
      </c>
      <c r="L10" s="5">
        <v>15115.35401750199</v>
      </c>
      <c r="M10" s="5">
        <v>3778.838504375497</v>
      </c>
      <c r="N10" s="4" t="s">
        <v>51</v>
      </c>
      <c r="O10" s="4" t="s">
        <v>154</v>
      </c>
    </row>
    <row r="11" spans="1:15" ht="28" x14ac:dyDescent="0.25">
      <c r="A11" s="4" t="s">
        <v>377</v>
      </c>
      <c r="B11" s="4" t="s">
        <v>341</v>
      </c>
      <c r="C11" s="4" t="s">
        <v>39</v>
      </c>
      <c r="D11" s="4" t="s">
        <v>76</v>
      </c>
      <c r="E11" s="4" t="s">
        <v>76</v>
      </c>
      <c r="F11" s="4" t="s">
        <v>47</v>
      </c>
      <c r="G11" s="5">
        <v>22.672999999999998</v>
      </c>
      <c r="H11" s="4" t="s">
        <v>201</v>
      </c>
      <c r="I11" s="4">
        <v>9</v>
      </c>
      <c r="J11" s="5">
        <v>50</v>
      </c>
      <c r="K11" s="5">
        <v>4534.6062052505968</v>
      </c>
      <c r="L11" s="5">
        <v>40811.455847255369</v>
      </c>
      <c r="M11" s="5">
        <v>18138.424821002391</v>
      </c>
      <c r="N11" s="4"/>
      <c r="O11" s="4" t="s">
        <v>154</v>
      </c>
    </row>
    <row r="12" spans="1:15" x14ac:dyDescent="0.25">
      <c r="A12" s="4" t="s">
        <v>378</v>
      </c>
      <c r="B12" s="4" t="s">
        <v>342</v>
      </c>
      <c r="C12" s="4" t="s">
        <v>83</v>
      </c>
      <c r="D12" s="4" t="s">
        <v>84</v>
      </c>
      <c r="E12" s="4" t="s">
        <v>84</v>
      </c>
      <c r="F12" s="4" t="s">
        <v>85</v>
      </c>
      <c r="G12" s="5">
        <v>2.8639999999999999</v>
      </c>
      <c r="H12" s="4" t="s">
        <v>191</v>
      </c>
      <c r="I12" s="4">
        <v>13</v>
      </c>
      <c r="J12" s="5">
        <v>30</v>
      </c>
      <c r="K12" s="5">
        <v>954.65393794749389</v>
      </c>
      <c r="L12" s="5">
        <v>12410.501193317419</v>
      </c>
      <c r="M12" s="5">
        <v>954.65393794749389</v>
      </c>
      <c r="N12" s="4"/>
      <c r="O12" s="4" t="s">
        <v>156</v>
      </c>
    </row>
    <row r="13" spans="1:15" x14ac:dyDescent="0.25">
      <c r="A13" s="4" t="s">
        <v>379</v>
      </c>
      <c r="B13" s="4" t="s">
        <v>343</v>
      </c>
      <c r="C13" s="4" t="s">
        <v>83</v>
      </c>
      <c r="D13" s="4" t="s">
        <v>89</v>
      </c>
      <c r="E13" s="4" t="s">
        <v>89</v>
      </c>
      <c r="F13" s="4" t="s">
        <v>85</v>
      </c>
      <c r="G13" s="5">
        <v>21.479700000000001</v>
      </c>
      <c r="H13" s="4" t="s">
        <v>244</v>
      </c>
      <c r="I13" s="4">
        <v>5</v>
      </c>
      <c r="J13" s="5">
        <v>65</v>
      </c>
      <c r="K13" s="5">
        <v>3304.5713236644019</v>
      </c>
      <c r="L13" s="5">
        <v>16522.85661832201</v>
      </c>
      <c r="M13" s="5">
        <v>3304.5713236644019</v>
      </c>
      <c r="N13" s="4"/>
      <c r="O13" s="4" t="s">
        <v>156</v>
      </c>
    </row>
    <row r="14" spans="1:15" x14ac:dyDescent="0.25">
      <c r="A14" s="4" t="s">
        <v>380</v>
      </c>
      <c r="B14" s="4" t="s">
        <v>344</v>
      </c>
      <c r="C14" s="4" t="s">
        <v>83</v>
      </c>
      <c r="D14" s="4" t="s">
        <v>89</v>
      </c>
      <c r="E14" s="4" t="s">
        <v>89</v>
      </c>
      <c r="F14" s="4" t="s">
        <v>94</v>
      </c>
      <c r="G14" s="5">
        <v>21.479700000000001</v>
      </c>
      <c r="H14" s="4" t="s">
        <v>244</v>
      </c>
      <c r="I14" s="4">
        <v>5</v>
      </c>
      <c r="J14" s="5">
        <v>70</v>
      </c>
      <c r="K14" s="5">
        <v>3068.53051483123</v>
      </c>
      <c r="L14" s="5">
        <v>15342.652574156151</v>
      </c>
      <c r="M14" s="5">
        <v>6137.0610296624609</v>
      </c>
      <c r="N14" s="4" t="s">
        <v>51</v>
      </c>
      <c r="O14" s="4" t="s">
        <v>346</v>
      </c>
    </row>
    <row r="15" spans="1:15" x14ac:dyDescent="0.25">
      <c r="A15" s="4" t="s">
        <v>381</v>
      </c>
      <c r="B15" s="4" t="s">
        <v>344</v>
      </c>
      <c r="C15" s="4" t="s">
        <v>83</v>
      </c>
      <c r="D15" s="4" t="s">
        <v>89</v>
      </c>
      <c r="E15" s="4" t="s">
        <v>89</v>
      </c>
      <c r="F15" s="4" t="s">
        <v>98</v>
      </c>
      <c r="G15" s="5">
        <v>21.479700000000001</v>
      </c>
      <c r="H15" s="4" t="s">
        <v>31</v>
      </c>
      <c r="I15" s="4">
        <v>2</v>
      </c>
      <c r="J15" s="5">
        <v>150</v>
      </c>
      <c r="K15" s="5">
        <v>1431.9809069212411</v>
      </c>
      <c r="L15" s="5">
        <v>2863.9618138424821</v>
      </c>
      <c r="M15" s="5">
        <v>1431.9809069212411</v>
      </c>
      <c r="N15" s="4"/>
      <c r="O15" s="4" t="s">
        <v>346</v>
      </c>
    </row>
    <row r="16" spans="1:15" x14ac:dyDescent="0.25">
      <c r="A16" s="4" t="s">
        <v>382</v>
      </c>
      <c r="B16" s="4" t="s">
        <v>347</v>
      </c>
      <c r="C16" s="4" t="s">
        <v>83</v>
      </c>
      <c r="D16" s="4" t="s">
        <v>40</v>
      </c>
      <c r="E16" s="4" t="s">
        <v>40</v>
      </c>
      <c r="F16" s="4" t="s">
        <v>85</v>
      </c>
      <c r="G16" s="5">
        <v>3.1025999999999998</v>
      </c>
      <c r="H16" s="4" t="s">
        <v>191</v>
      </c>
      <c r="I16" s="4">
        <v>13</v>
      </c>
      <c r="J16" s="5">
        <v>25</v>
      </c>
      <c r="K16" s="5">
        <v>1241.0501193317421</v>
      </c>
      <c r="L16" s="5">
        <v>16133.651551312651</v>
      </c>
      <c r="M16" s="5">
        <v>1241.0501193317421</v>
      </c>
      <c r="N16" s="4"/>
      <c r="O16" s="4" t="s">
        <v>348</v>
      </c>
    </row>
    <row r="17" spans="1:15" ht="28" x14ac:dyDescent="0.25">
      <c r="A17" s="4" t="s">
        <v>383</v>
      </c>
      <c r="B17" s="4" t="s">
        <v>349</v>
      </c>
      <c r="C17" s="4" t="s">
        <v>83</v>
      </c>
      <c r="D17" s="4" t="s">
        <v>40</v>
      </c>
      <c r="E17" s="4" t="s">
        <v>40</v>
      </c>
      <c r="F17" s="4" t="s">
        <v>106</v>
      </c>
      <c r="G17" s="5">
        <v>9.3079000000000001</v>
      </c>
      <c r="H17" s="4" t="s">
        <v>266</v>
      </c>
      <c r="I17" s="4">
        <v>13</v>
      </c>
      <c r="J17" s="5">
        <v>35</v>
      </c>
      <c r="K17" s="5">
        <v>2659.3931128537338</v>
      </c>
      <c r="L17" s="5">
        <v>34572.110467098537</v>
      </c>
      <c r="M17" s="5">
        <v>10637.572451414941</v>
      </c>
      <c r="N17" s="4"/>
      <c r="O17" s="4" t="s">
        <v>350</v>
      </c>
    </row>
    <row r="18" spans="1:15" x14ac:dyDescent="0.25">
      <c r="A18" s="4" t="s">
        <v>384</v>
      </c>
      <c r="B18" s="4" t="s">
        <v>349</v>
      </c>
      <c r="C18" s="4" t="s">
        <v>83</v>
      </c>
      <c r="D18" s="4" t="s">
        <v>40</v>
      </c>
      <c r="E18" s="4" t="s">
        <v>40</v>
      </c>
      <c r="F18" s="4" t="s">
        <v>110</v>
      </c>
      <c r="G18" s="5">
        <v>9.3079000000000001</v>
      </c>
      <c r="H18" s="4" t="s">
        <v>30</v>
      </c>
      <c r="I18" s="4">
        <v>6</v>
      </c>
      <c r="J18" s="5">
        <v>25</v>
      </c>
      <c r="K18" s="5">
        <v>3723.1503579952268</v>
      </c>
      <c r="L18" s="5">
        <v>22338.902147971359</v>
      </c>
      <c r="M18" s="5">
        <v>3723.1503579952268</v>
      </c>
      <c r="N18" s="4"/>
      <c r="O18" s="4" t="s">
        <v>350</v>
      </c>
    </row>
    <row r="19" spans="1:15" x14ac:dyDescent="0.25">
      <c r="A19" s="4" t="s">
        <v>385</v>
      </c>
      <c r="B19" s="4" t="s">
        <v>351</v>
      </c>
      <c r="C19" s="4" t="s">
        <v>113</v>
      </c>
      <c r="D19" s="4" t="s">
        <v>114</v>
      </c>
      <c r="E19" s="4" t="s">
        <v>114</v>
      </c>
      <c r="F19" s="4" t="s">
        <v>115</v>
      </c>
      <c r="G19" s="5">
        <v>5.7279</v>
      </c>
      <c r="H19" s="4" t="s">
        <v>191</v>
      </c>
      <c r="I19" s="4">
        <v>13</v>
      </c>
      <c r="J19" s="5">
        <v>50</v>
      </c>
      <c r="K19" s="5">
        <v>1145.5847255369929</v>
      </c>
      <c r="L19" s="5">
        <v>14892.6014319809</v>
      </c>
      <c r="M19" s="5">
        <v>1145.5847255369929</v>
      </c>
      <c r="N19" s="4"/>
      <c r="O19" s="4" t="s">
        <v>156</v>
      </c>
    </row>
    <row r="20" spans="1:15" x14ac:dyDescent="0.25">
      <c r="A20" s="4" t="s">
        <v>386</v>
      </c>
      <c r="B20" s="4" t="s">
        <v>352</v>
      </c>
      <c r="C20" s="4" t="s">
        <v>113</v>
      </c>
      <c r="D20" s="4" t="s">
        <v>114</v>
      </c>
      <c r="E20" s="4" t="s">
        <v>114</v>
      </c>
      <c r="F20" s="4" t="s">
        <v>41</v>
      </c>
      <c r="G20" s="5">
        <v>5.7279</v>
      </c>
      <c r="H20" s="4" t="s">
        <v>22</v>
      </c>
      <c r="I20" s="4">
        <v>4</v>
      </c>
      <c r="J20" s="5">
        <v>70</v>
      </c>
      <c r="K20" s="5">
        <v>818.2748039549947</v>
      </c>
      <c r="L20" s="5">
        <v>3273.0992158199788</v>
      </c>
      <c r="M20" s="5">
        <v>818.2748039549947</v>
      </c>
      <c r="N20" s="4" t="s">
        <v>51</v>
      </c>
      <c r="O20" s="4" t="s">
        <v>353</v>
      </c>
    </row>
    <row r="21" spans="1:15" ht="28" x14ac:dyDescent="0.25">
      <c r="A21" s="4" t="s">
        <v>387</v>
      </c>
      <c r="B21" s="4" t="s">
        <v>352</v>
      </c>
      <c r="C21" s="4" t="s">
        <v>113</v>
      </c>
      <c r="D21" s="4" t="s">
        <v>114</v>
      </c>
      <c r="E21" s="4" t="s">
        <v>114</v>
      </c>
      <c r="F21" s="4" t="s">
        <v>47</v>
      </c>
      <c r="G21" s="5">
        <v>5.7279</v>
      </c>
      <c r="H21" s="4" t="s">
        <v>201</v>
      </c>
      <c r="I21" s="4">
        <v>15</v>
      </c>
      <c r="J21" s="5">
        <v>80</v>
      </c>
      <c r="K21" s="5">
        <v>715.99045346062042</v>
      </c>
      <c r="L21" s="5">
        <v>10739.856801909311</v>
      </c>
      <c r="M21" s="5">
        <v>4295.9427207637227</v>
      </c>
      <c r="N21" s="4"/>
      <c r="O21" s="4" t="s">
        <v>353</v>
      </c>
    </row>
    <row r="22" spans="1:15" x14ac:dyDescent="0.25">
      <c r="A22" s="4" t="s">
        <v>388</v>
      </c>
      <c r="B22" s="4" t="s">
        <v>354</v>
      </c>
      <c r="C22" s="4" t="s">
        <v>113</v>
      </c>
      <c r="D22" s="4" t="s">
        <v>118</v>
      </c>
      <c r="E22" s="4" t="s">
        <v>118</v>
      </c>
      <c r="F22" s="4" t="s">
        <v>65</v>
      </c>
      <c r="G22" s="5">
        <v>21.479700000000001</v>
      </c>
      <c r="H22" s="4" t="s">
        <v>30</v>
      </c>
      <c r="I22" s="4">
        <v>8</v>
      </c>
      <c r="J22" s="5">
        <v>35</v>
      </c>
      <c r="K22" s="5">
        <v>6137.0610296624609</v>
      </c>
      <c r="L22" s="5">
        <v>49096.488237299687</v>
      </c>
      <c r="M22" s="5">
        <v>6137.0610296624609</v>
      </c>
      <c r="N22" s="4"/>
      <c r="O22" s="4" t="s">
        <v>166</v>
      </c>
    </row>
    <row r="23" spans="1:15" ht="28" x14ac:dyDescent="0.25">
      <c r="A23" s="4" t="s">
        <v>389</v>
      </c>
      <c r="B23" s="4" t="s">
        <v>354</v>
      </c>
      <c r="C23" s="4" t="s">
        <v>113</v>
      </c>
      <c r="D23" s="4" t="s">
        <v>118</v>
      </c>
      <c r="E23" s="4" t="s">
        <v>118</v>
      </c>
      <c r="F23" s="4" t="s">
        <v>71</v>
      </c>
      <c r="G23" s="5">
        <v>21.479700000000001</v>
      </c>
      <c r="H23" s="4" t="s">
        <v>261</v>
      </c>
      <c r="I23" s="4">
        <v>15</v>
      </c>
      <c r="J23" s="5">
        <v>45</v>
      </c>
      <c r="K23" s="5">
        <v>4773.2696897374699</v>
      </c>
      <c r="L23" s="5">
        <v>71599.045346062048</v>
      </c>
      <c r="M23" s="5">
        <v>9546.5393794749398</v>
      </c>
      <c r="N23" s="4"/>
      <c r="O23" s="4" t="s">
        <v>166</v>
      </c>
    </row>
    <row r="24" spans="1:15" x14ac:dyDescent="0.25">
      <c r="A24" s="4" t="s">
        <v>390</v>
      </c>
      <c r="B24" s="4" t="s">
        <v>355</v>
      </c>
      <c r="C24" s="4" t="s">
        <v>113</v>
      </c>
      <c r="D24" s="4" t="s">
        <v>40</v>
      </c>
      <c r="E24" s="4" t="s">
        <v>143</v>
      </c>
      <c r="F24" s="4" t="s">
        <v>41</v>
      </c>
      <c r="G24" s="5">
        <v>31.7422</v>
      </c>
      <c r="H24" s="4" t="s">
        <v>270</v>
      </c>
      <c r="I24" s="4">
        <v>2</v>
      </c>
      <c r="J24" s="5">
        <v>200</v>
      </c>
      <c r="K24" s="5">
        <v>1587.112171837709</v>
      </c>
      <c r="L24" s="5">
        <v>3174.224343675417</v>
      </c>
      <c r="M24" s="5">
        <v>1587.112171837709</v>
      </c>
      <c r="N24" s="4" t="s">
        <v>43</v>
      </c>
      <c r="O24" s="4" t="s">
        <v>146</v>
      </c>
    </row>
    <row r="25" spans="1:15" ht="28" x14ac:dyDescent="0.25">
      <c r="A25" s="4" t="s">
        <v>391</v>
      </c>
      <c r="B25" s="4" t="s">
        <v>355</v>
      </c>
      <c r="C25" s="4" t="s">
        <v>113</v>
      </c>
      <c r="D25" s="4" t="s">
        <v>40</v>
      </c>
      <c r="E25" s="4" t="s">
        <v>143</v>
      </c>
      <c r="F25" s="4" t="s">
        <v>47</v>
      </c>
      <c r="G25" s="5">
        <v>31.7422</v>
      </c>
      <c r="H25" s="4" t="s">
        <v>281</v>
      </c>
      <c r="I25" s="4">
        <v>7</v>
      </c>
      <c r="J25" s="5">
        <v>200</v>
      </c>
      <c r="K25" s="5">
        <v>1587.112171837709</v>
      </c>
      <c r="L25" s="5">
        <v>11109.785202863961</v>
      </c>
      <c r="M25" s="5">
        <v>4761.336515513126</v>
      </c>
      <c r="N25" s="4"/>
      <c r="O25" s="4" t="s">
        <v>146</v>
      </c>
    </row>
    <row r="26" spans="1:15" x14ac:dyDescent="0.25">
      <c r="A26" s="4" t="s">
        <v>392</v>
      </c>
      <c r="B26" s="4" t="s">
        <v>356</v>
      </c>
      <c r="C26" s="4" t="s">
        <v>122</v>
      </c>
      <c r="D26" s="4" t="s">
        <v>123</v>
      </c>
      <c r="E26" s="4" t="s">
        <v>123</v>
      </c>
      <c r="F26" s="4" t="s">
        <v>124</v>
      </c>
      <c r="G26" s="5">
        <v>5.9665999999999997</v>
      </c>
      <c r="H26" s="4" t="s">
        <v>191</v>
      </c>
      <c r="I26" s="4">
        <v>15</v>
      </c>
      <c r="J26" s="5">
        <v>30</v>
      </c>
      <c r="K26" s="5">
        <v>1988.862370723946</v>
      </c>
      <c r="L26" s="5">
        <v>29832.93556085918</v>
      </c>
      <c r="M26" s="5">
        <v>1988.862370723946</v>
      </c>
      <c r="N26" s="4"/>
      <c r="O26" s="4" t="s">
        <v>168</v>
      </c>
    </row>
    <row r="27" spans="1:15" x14ac:dyDescent="0.25">
      <c r="A27" s="4" t="s">
        <v>393</v>
      </c>
      <c r="B27" s="4" t="s">
        <v>357</v>
      </c>
      <c r="C27" s="4" t="s">
        <v>122</v>
      </c>
      <c r="D27" s="4" t="s">
        <v>126</v>
      </c>
      <c r="E27" s="4" t="s">
        <v>126</v>
      </c>
      <c r="F27" s="4" t="s">
        <v>85</v>
      </c>
      <c r="G27" s="5">
        <v>42.959400000000002</v>
      </c>
      <c r="H27" s="4" t="s">
        <v>191</v>
      </c>
      <c r="I27" s="4">
        <v>7</v>
      </c>
      <c r="J27" s="5">
        <v>40</v>
      </c>
      <c r="K27" s="5">
        <v>10739.856801909311</v>
      </c>
      <c r="L27" s="5">
        <v>75178.997613365136</v>
      </c>
      <c r="M27" s="5">
        <v>10739.856801909311</v>
      </c>
      <c r="N27" s="4"/>
      <c r="O27" s="4" t="s">
        <v>156</v>
      </c>
    </row>
    <row r="28" spans="1:15" ht="28" x14ac:dyDescent="0.25">
      <c r="A28" s="4" t="s">
        <v>394</v>
      </c>
      <c r="B28" s="4" t="s">
        <v>358</v>
      </c>
      <c r="C28" s="4" t="s">
        <v>122</v>
      </c>
      <c r="D28" s="4" t="s">
        <v>126</v>
      </c>
      <c r="E28" s="4" t="s">
        <v>126</v>
      </c>
      <c r="F28" s="4" t="s">
        <v>94</v>
      </c>
      <c r="G28" s="5">
        <v>100.23869999999999</v>
      </c>
      <c r="H28" s="4" t="s">
        <v>206</v>
      </c>
      <c r="I28" s="4">
        <v>7</v>
      </c>
      <c r="J28" s="5">
        <v>50</v>
      </c>
      <c r="K28" s="5">
        <v>20047.732696897368</v>
      </c>
      <c r="L28" s="5">
        <v>140334.1288782816</v>
      </c>
      <c r="M28" s="5">
        <v>60143.198090692109</v>
      </c>
      <c r="N28" s="4" t="s">
        <v>51</v>
      </c>
      <c r="O28" s="4" t="s">
        <v>346</v>
      </c>
    </row>
    <row r="29" spans="1:15" x14ac:dyDescent="0.25">
      <c r="A29" s="4" t="s">
        <v>395</v>
      </c>
      <c r="B29" s="4" t="s">
        <v>358</v>
      </c>
      <c r="C29" s="4" t="s">
        <v>122</v>
      </c>
      <c r="D29" s="4" t="s">
        <v>126</v>
      </c>
      <c r="E29" s="4" t="s">
        <v>126</v>
      </c>
      <c r="F29" s="4" t="s">
        <v>98</v>
      </c>
      <c r="G29" s="5">
        <v>100.23869999999999</v>
      </c>
      <c r="H29" s="4" t="s">
        <v>191</v>
      </c>
      <c r="I29" s="4">
        <v>4</v>
      </c>
      <c r="J29" s="5">
        <v>60</v>
      </c>
      <c r="K29" s="5">
        <v>16706.443914081141</v>
      </c>
      <c r="L29" s="5">
        <v>66825.775656324564</v>
      </c>
      <c r="M29" s="5">
        <v>16706.443914081141</v>
      </c>
      <c r="N29" s="4"/>
      <c r="O29" s="4" t="s">
        <v>346</v>
      </c>
    </row>
    <row r="30" spans="1:15" ht="28" x14ac:dyDescent="0.25">
      <c r="A30" s="4" t="s">
        <v>396</v>
      </c>
      <c r="B30" s="4" t="s">
        <v>359</v>
      </c>
      <c r="C30" s="4" t="s">
        <v>122</v>
      </c>
      <c r="D30" s="4" t="s">
        <v>129</v>
      </c>
      <c r="E30" s="4" t="s">
        <v>143</v>
      </c>
      <c r="F30" s="4" t="s">
        <v>106</v>
      </c>
      <c r="G30" s="5">
        <v>34.3675</v>
      </c>
      <c r="H30" s="4" t="s">
        <v>281</v>
      </c>
      <c r="I30" s="4">
        <v>7</v>
      </c>
      <c r="J30" s="5">
        <v>200</v>
      </c>
      <c r="K30" s="5">
        <v>1718.377088305489</v>
      </c>
      <c r="L30" s="5">
        <v>12028.639618138421</v>
      </c>
      <c r="M30" s="5">
        <v>5155.1312649164674</v>
      </c>
      <c r="N30" s="4"/>
      <c r="O30" s="4" t="s">
        <v>361</v>
      </c>
    </row>
    <row r="31" spans="1:15" ht="28" x14ac:dyDescent="0.25">
      <c r="A31" s="4" t="s">
        <v>397</v>
      </c>
      <c r="B31" s="4" t="s">
        <v>359</v>
      </c>
      <c r="C31" s="4" t="s">
        <v>122</v>
      </c>
      <c r="D31" s="4" t="s">
        <v>129</v>
      </c>
      <c r="E31" s="4" t="s">
        <v>143</v>
      </c>
      <c r="F31" s="4" t="s">
        <v>110</v>
      </c>
      <c r="G31" s="5">
        <v>34.3675</v>
      </c>
      <c r="H31" s="4" t="s">
        <v>270</v>
      </c>
      <c r="I31" s="4">
        <v>2</v>
      </c>
      <c r="J31" s="5">
        <v>200</v>
      </c>
      <c r="K31" s="5">
        <v>1718.377088305489</v>
      </c>
      <c r="L31" s="5">
        <v>3436.754176610978</v>
      </c>
      <c r="M31" s="5">
        <v>1718.377088305489</v>
      </c>
      <c r="N31" s="4"/>
      <c r="O31" s="4" t="s">
        <v>361</v>
      </c>
    </row>
    <row r="32" spans="1:15" ht="28" x14ac:dyDescent="0.25">
      <c r="A32" s="4" t="s">
        <v>398</v>
      </c>
      <c r="B32" s="4" t="s">
        <v>362</v>
      </c>
      <c r="C32" s="4" t="s">
        <v>122</v>
      </c>
      <c r="D32" s="4" t="s">
        <v>129</v>
      </c>
      <c r="E32" s="4" t="s">
        <v>143</v>
      </c>
      <c r="F32" s="4" t="s">
        <v>106</v>
      </c>
      <c r="G32" s="5">
        <v>3.8186</v>
      </c>
      <c r="H32" s="4" t="s">
        <v>281</v>
      </c>
      <c r="I32" s="4">
        <v>7</v>
      </c>
      <c r="J32" s="5">
        <v>200</v>
      </c>
      <c r="K32" s="5">
        <v>190.93078758949881</v>
      </c>
      <c r="L32" s="5">
        <v>1336.5155131264919</v>
      </c>
      <c r="M32" s="5">
        <v>572.79236276849645</v>
      </c>
      <c r="N32" s="4"/>
      <c r="O32" s="4" t="s">
        <v>364</v>
      </c>
    </row>
    <row r="33" spans="1:15" ht="28" x14ac:dyDescent="0.25">
      <c r="A33" s="4" t="s">
        <v>399</v>
      </c>
      <c r="B33" s="4" t="s">
        <v>362</v>
      </c>
      <c r="C33" s="4" t="s">
        <v>122</v>
      </c>
      <c r="D33" s="4" t="s">
        <v>129</v>
      </c>
      <c r="E33" s="4" t="s">
        <v>40</v>
      </c>
      <c r="F33" s="4" t="s">
        <v>110</v>
      </c>
      <c r="G33" s="5">
        <v>3.8186</v>
      </c>
      <c r="H33" s="4" t="s">
        <v>30</v>
      </c>
      <c r="I33" s="4">
        <v>6</v>
      </c>
      <c r="J33" s="5">
        <v>25</v>
      </c>
      <c r="K33" s="5">
        <v>1527.44630071599</v>
      </c>
      <c r="L33" s="5">
        <v>9164.6778042959431</v>
      </c>
      <c r="M33" s="5">
        <v>1527.44630071599</v>
      </c>
      <c r="N33" s="4"/>
      <c r="O33" s="4" t="s">
        <v>364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1" width="12" customWidth="1"/>
    <col min="2" max="2" width="10" customWidth="1"/>
    <col min="3" max="3" width="21" customWidth="1"/>
    <col min="4" max="4" width="18" customWidth="1"/>
  </cols>
  <sheetData>
    <row r="1" spans="1:4" s="20" customFormat="1" x14ac:dyDescent="0.25">
      <c r="A1" s="19" t="s">
        <v>400</v>
      </c>
      <c r="B1" s="19" t="s">
        <v>37</v>
      </c>
      <c r="C1" s="19" t="s">
        <v>401</v>
      </c>
      <c r="D1" s="19" t="s">
        <v>402</v>
      </c>
    </row>
    <row r="2" spans="1:4" ht="28" x14ac:dyDescent="0.25">
      <c r="A2" s="4" t="s">
        <v>44</v>
      </c>
      <c r="B2" s="4" t="s">
        <v>45</v>
      </c>
      <c r="C2" s="5">
        <v>500</v>
      </c>
      <c r="D2" s="4" t="s">
        <v>403</v>
      </c>
    </row>
    <row r="3" spans="1:4" ht="28" x14ac:dyDescent="0.25">
      <c r="A3" s="4" t="s">
        <v>7</v>
      </c>
      <c r="B3" s="4" t="s">
        <v>45</v>
      </c>
      <c r="C3" s="5">
        <v>917.9</v>
      </c>
      <c r="D3" s="4" t="s">
        <v>404</v>
      </c>
    </row>
    <row r="4" spans="1:4" ht="28" x14ac:dyDescent="0.25">
      <c r="A4" s="4" t="s">
        <v>52</v>
      </c>
      <c r="B4" s="4" t="s">
        <v>45</v>
      </c>
      <c r="C4" s="5">
        <v>1481.62</v>
      </c>
      <c r="D4" s="4" t="s">
        <v>405</v>
      </c>
    </row>
    <row r="5" spans="1:4" x14ac:dyDescent="0.25">
      <c r="A5" s="4" t="s">
        <v>55</v>
      </c>
      <c r="B5" s="4" t="s">
        <v>56</v>
      </c>
      <c r="C5" s="5">
        <v>1.835799522673031</v>
      </c>
      <c r="D5" s="4" t="s">
        <v>406</v>
      </c>
    </row>
    <row r="6" spans="1:4" ht="28" x14ac:dyDescent="0.25">
      <c r="A6" s="4" t="s">
        <v>59</v>
      </c>
      <c r="B6" s="4" t="s">
        <v>60</v>
      </c>
      <c r="C6" s="5">
        <v>0.16420047732696899</v>
      </c>
      <c r="D6" s="4" t="s">
        <v>407</v>
      </c>
    </row>
    <row r="7" spans="1:4" ht="28" x14ac:dyDescent="0.25">
      <c r="A7" s="4" t="s">
        <v>62</v>
      </c>
      <c r="B7" s="4" t="s">
        <v>60</v>
      </c>
      <c r="C7" s="5">
        <v>1</v>
      </c>
      <c r="D7" s="4" t="s">
        <v>408</v>
      </c>
    </row>
    <row r="8" spans="1:4" ht="28" x14ac:dyDescent="0.25">
      <c r="A8" s="4" t="s">
        <v>68</v>
      </c>
      <c r="B8" s="4" t="s">
        <v>69</v>
      </c>
      <c r="C8" s="5">
        <v>20</v>
      </c>
      <c r="D8" s="4" t="s">
        <v>409</v>
      </c>
    </row>
    <row r="9" spans="1:4" ht="28" x14ac:dyDescent="0.25">
      <c r="A9" s="4" t="s">
        <v>73</v>
      </c>
      <c r="B9" s="4" t="s">
        <v>74</v>
      </c>
      <c r="C9" s="5">
        <v>19</v>
      </c>
      <c r="D9" s="4" t="s">
        <v>410</v>
      </c>
    </row>
    <row r="10" spans="1:4" ht="28" x14ac:dyDescent="0.25">
      <c r="A10" s="4" t="s">
        <v>78</v>
      </c>
      <c r="B10" s="4" t="s">
        <v>79</v>
      </c>
      <c r="C10" s="5">
        <v>9.20962874501509</v>
      </c>
      <c r="D10" s="4" t="s">
        <v>411</v>
      </c>
    </row>
    <row r="11" spans="1:4" ht="28" x14ac:dyDescent="0.25">
      <c r="A11" s="4" t="s">
        <v>81</v>
      </c>
      <c r="B11" s="4" t="s">
        <v>79</v>
      </c>
      <c r="C11" s="5">
        <v>7.0880627052534102</v>
      </c>
      <c r="D11" s="4" t="s">
        <v>412</v>
      </c>
    </row>
    <row r="12" spans="1:4" ht="28" x14ac:dyDescent="0.25">
      <c r="A12" s="4" t="s">
        <v>87</v>
      </c>
      <c r="B12" s="4" t="s">
        <v>79</v>
      </c>
      <c r="C12" s="5">
        <v>11.58611544167516</v>
      </c>
      <c r="D12" s="4" t="s">
        <v>413</v>
      </c>
    </row>
    <row r="13" spans="1:4" ht="28" x14ac:dyDescent="0.25">
      <c r="A13" s="4" t="s">
        <v>91</v>
      </c>
      <c r="B13" s="4" t="s">
        <v>92</v>
      </c>
      <c r="C13" s="5">
        <v>5000</v>
      </c>
      <c r="D13" s="4" t="s">
        <v>414</v>
      </c>
    </row>
    <row r="14" spans="1:4" ht="28" x14ac:dyDescent="0.25">
      <c r="A14" s="4" t="s">
        <v>96</v>
      </c>
      <c r="B14" s="4" t="s">
        <v>92</v>
      </c>
      <c r="C14" s="5">
        <v>9178.9976133651544</v>
      </c>
      <c r="D14" s="4" t="s">
        <v>415</v>
      </c>
    </row>
    <row r="15" spans="1:4" ht="28" x14ac:dyDescent="0.25">
      <c r="A15" s="4" t="s">
        <v>100</v>
      </c>
      <c r="B15" s="4" t="s">
        <v>101</v>
      </c>
      <c r="C15" s="5">
        <v>63.56584925623951</v>
      </c>
      <c r="D15" s="4" t="s">
        <v>416</v>
      </c>
    </row>
    <row r="16" spans="1:4" ht="28" x14ac:dyDescent="0.25">
      <c r="A16" s="4" t="s">
        <v>104</v>
      </c>
      <c r="B16" s="4" t="s">
        <v>101</v>
      </c>
      <c r="C16" s="5">
        <v>64.116280890373417</v>
      </c>
      <c r="D16" s="4" t="s">
        <v>417</v>
      </c>
    </row>
    <row r="17" spans="1:4" ht="28" x14ac:dyDescent="0.25">
      <c r="A17" s="4" t="s">
        <v>107</v>
      </c>
      <c r="B17" s="4" t="s">
        <v>108</v>
      </c>
      <c r="C17" s="5">
        <v>39936.35640413683</v>
      </c>
      <c r="D17" s="4" t="s">
        <v>418</v>
      </c>
    </row>
    <row r="18" spans="1:4" ht="28" x14ac:dyDescent="0.25">
      <c r="A18" s="4" t="s">
        <v>111</v>
      </c>
      <c r="B18" s="4" t="s">
        <v>108</v>
      </c>
      <c r="C18" s="5">
        <v>42402.545743834533</v>
      </c>
      <c r="D18" s="4" t="s">
        <v>419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pane ySplit="1" topLeftCell="A2" activePane="bottomLeft" state="frozen"/>
      <selection pane="bottomLeft" activeCell="F23" sqref="F23"/>
    </sheetView>
  </sheetViews>
  <sheetFormatPr defaultRowHeight="14" x14ac:dyDescent="0.25"/>
  <cols>
    <col min="1" max="1" width="10" customWidth="1"/>
    <col min="2" max="3" width="19" customWidth="1"/>
    <col min="4" max="4" width="21" customWidth="1"/>
    <col min="5" max="5" width="32" customWidth="1"/>
  </cols>
  <sheetData>
    <row r="1" spans="1:5" s="20" customFormat="1" x14ac:dyDescent="0.25">
      <c r="A1" s="19" t="s">
        <v>420</v>
      </c>
      <c r="B1" s="19" t="s">
        <v>421</v>
      </c>
      <c r="C1" s="19" t="s">
        <v>422</v>
      </c>
      <c r="D1" s="19" t="s">
        <v>423</v>
      </c>
      <c r="E1" s="19" t="s">
        <v>142</v>
      </c>
    </row>
    <row r="2" spans="1:5" ht="28" x14ac:dyDescent="0.25">
      <c r="A2" s="4" t="s">
        <v>424</v>
      </c>
      <c r="B2" s="5">
        <v>5000000</v>
      </c>
      <c r="C2" s="5">
        <v>5125950.0840231543</v>
      </c>
      <c r="D2" s="5">
        <v>0.97542892888954913</v>
      </c>
      <c r="E2" s="4" t="s">
        <v>425</v>
      </c>
    </row>
    <row r="3" spans="1:5" x14ac:dyDescent="0.25">
      <c r="A3" s="4" t="s">
        <v>67</v>
      </c>
      <c r="B3" s="5">
        <v>868735.08353221952</v>
      </c>
      <c r="C3" s="5">
        <v>560174.99999999988</v>
      </c>
      <c r="D3" s="5">
        <v>1.5508280154098619</v>
      </c>
      <c r="E3" s="4" t="s">
        <v>426</v>
      </c>
    </row>
    <row r="4" spans="1:5" x14ac:dyDescent="0.25">
      <c r="A4" s="4" t="s">
        <v>51</v>
      </c>
      <c r="B4" s="5">
        <v>2575178.9976133648</v>
      </c>
      <c r="C4" s="5">
        <v>1470000</v>
      </c>
      <c r="D4" s="5">
        <v>1.75182244735603</v>
      </c>
      <c r="E4" s="4" t="s">
        <v>427</v>
      </c>
    </row>
    <row r="5" spans="1:5" x14ac:dyDescent="0.25">
      <c r="A5" s="4" t="s">
        <v>43</v>
      </c>
      <c r="B5" s="5">
        <v>735083.53221957036</v>
      </c>
      <c r="C5" s="5">
        <v>2450000</v>
      </c>
      <c r="D5" s="5">
        <v>0.30003409478349807</v>
      </c>
      <c r="E5" s="4" t="s">
        <v>428</v>
      </c>
    </row>
    <row r="6" spans="1:5" x14ac:dyDescent="0.25">
      <c r="A6" s="4" t="s">
        <v>429</v>
      </c>
      <c r="B6" s="5">
        <v>996674.01015849691</v>
      </c>
      <c r="C6" s="5">
        <v>7140000</v>
      </c>
      <c r="D6" s="5">
        <v>0.13959019750119001</v>
      </c>
      <c r="E6" s="4" t="s">
        <v>430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5" width="10" customWidth="1"/>
    <col min="6" max="9" width="20" customWidth="1"/>
    <col min="10" max="10" width="10" customWidth="1"/>
    <col min="11" max="11" width="21" customWidth="1"/>
    <col min="12" max="13" width="20" customWidth="1"/>
    <col min="14" max="14" width="10" customWidth="1"/>
  </cols>
  <sheetData>
    <row r="1" spans="1:14" s="20" customFormat="1" ht="28" x14ac:dyDescent="0.25">
      <c r="A1" s="19" t="s">
        <v>305</v>
      </c>
      <c r="B1" s="19" t="s">
        <v>306</v>
      </c>
      <c r="C1" s="19" t="s">
        <v>307</v>
      </c>
      <c r="D1" s="19" t="s">
        <v>308</v>
      </c>
      <c r="E1" s="19" t="s">
        <v>309</v>
      </c>
      <c r="F1" s="19" t="s">
        <v>431</v>
      </c>
      <c r="G1" s="19" t="s">
        <v>432</v>
      </c>
      <c r="H1" s="19" t="s">
        <v>433</v>
      </c>
      <c r="I1" s="19" t="s">
        <v>434</v>
      </c>
      <c r="J1" s="19" t="s">
        <v>435</v>
      </c>
      <c r="K1" s="19" t="s">
        <v>436</v>
      </c>
      <c r="L1" s="19" t="s">
        <v>437</v>
      </c>
      <c r="M1" s="19" t="s">
        <v>438</v>
      </c>
      <c r="N1" s="19" t="s">
        <v>439</v>
      </c>
    </row>
    <row r="2" spans="1:14" x14ac:dyDescent="0.25">
      <c r="A2" s="4" t="s">
        <v>191</v>
      </c>
      <c r="B2" s="4" t="s">
        <v>310</v>
      </c>
      <c r="C2" s="4">
        <v>25</v>
      </c>
      <c r="D2" s="4">
        <v>2</v>
      </c>
      <c r="E2" s="5">
        <v>0.5</v>
      </c>
      <c r="F2" s="5">
        <v>89780.307202741562</v>
      </c>
      <c r="G2" s="5">
        <v>2227.2896006787928</v>
      </c>
      <c r="H2" s="5">
        <v>55682.240016969823</v>
      </c>
      <c r="I2" s="5">
        <v>40.309220307668987</v>
      </c>
      <c r="J2" s="4">
        <v>41</v>
      </c>
      <c r="K2" s="5">
        <v>1.6123688123067601</v>
      </c>
      <c r="L2" s="5">
        <v>4885441.5274462998</v>
      </c>
      <c r="M2" s="5">
        <v>54.415513598255053</v>
      </c>
      <c r="N2" s="4" t="s">
        <v>440</v>
      </c>
    </row>
    <row r="3" spans="1:14" x14ac:dyDescent="0.25">
      <c r="A3" s="4" t="s">
        <v>34</v>
      </c>
      <c r="B3" s="4" t="s">
        <v>310</v>
      </c>
      <c r="C3" s="4">
        <v>3</v>
      </c>
      <c r="D3" s="4">
        <v>2</v>
      </c>
      <c r="E3" s="5">
        <v>0.5</v>
      </c>
      <c r="F3" s="5">
        <v>6443.9140811455854</v>
      </c>
      <c r="G3" s="5">
        <v>2227.2896006787928</v>
      </c>
      <c r="H3" s="5">
        <v>6681.8688020363788</v>
      </c>
      <c r="I3" s="5">
        <v>2.8931639959086262</v>
      </c>
      <c r="J3" s="4">
        <v>3</v>
      </c>
      <c r="K3" s="5">
        <v>0.96438799863620861</v>
      </c>
      <c r="L3" s="5">
        <v>644391.40811455844</v>
      </c>
      <c r="M3" s="5">
        <v>100</v>
      </c>
      <c r="N3" s="4" t="s">
        <v>441</v>
      </c>
    </row>
    <row r="4" spans="1:14" x14ac:dyDescent="0.25">
      <c r="A4" s="4" t="s">
        <v>21</v>
      </c>
      <c r="B4" s="4" t="s">
        <v>311</v>
      </c>
      <c r="C4" s="4">
        <v>2</v>
      </c>
      <c r="D4" s="4">
        <v>2</v>
      </c>
      <c r="E4" s="5">
        <v>0.5</v>
      </c>
      <c r="F4" s="5">
        <v>5584.7255369928389</v>
      </c>
      <c r="G4" s="5">
        <v>2227.2896006787928</v>
      </c>
      <c r="H4" s="5">
        <v>4454.5792013575856</v>
      </c>
      <c r="I4" s="5">
        <v>2.5074087964541421</v>
      </c>
      <c r="J4" s="4">
        <v>3</v>
      </c>
      <c r="K4" s="5">
        <v>1.253704398227071</v>
      </c>
      <c r="L4" s="5">
        <v>1116945.107398568</v>
      </c>
      <c r="M4" s="5">
        <v>200</v>
      </c>
      <c r="N4" s="4" t="s">
        <v>440</v>
      </c>
    </row>
    <row r="5" spans="1:14" x14ac:dyDescent="0.25">
      <c r="A5" s="4" t="s">
        <v>24</v>
      </c>
      <c r="B5" s="4" t="s">
        <v>311</v>
      </c>
      <c r="C5" s="4">
        <v>4</v>
      </c>
      <c r="D5" s="4">
        <v>2</v>
      </c>
      <c r="E5" s="5">
        <v>0.45</v>
      </c>
      <c r="F5" s="5">
        <v>5393.7947494033406</v>
      </c>
      <c r="G5" s="5">
        <v>2004.5606406109141</v>
      </c>
      <c r="H5" s="5">
        <v>8018.2425624436546</v>
      </c>
      <c r="I5" s="5">
        <v>2.6907615764417669</v>
      </c>
      <c r="J5" s="4">
        <v>3</v>
      </c>
      <c r="K5" s="5">
        <v>0.67269039411044174</v>
      </c>
      <c r="L5" s="5">
        <v>1078758.949880668</v>
      </c>
      <c r="M5" s="5">
        <v>200</v>
      </c>
      <c r="N5" s="4" t="s">
        <v>441</v>
      </c>
    </row>
    <row r="6" spans="1:14" x14ac:dyDescent="0.25">
      <c r="A6" s="4" t="s">
        <v>22</v>
      </c>
      <c r="B6" s="4" t="s">
        <v>312</v>
      </c>
      <c r="C6" s="4">
        <v>20</v>
      </c>
      <c r="D6" s="4">
        <v>2</v>
      </c>
      <c r="E6" s="5">
        <v>0.4</v>
      </c>
      <c r="F6" s="5">
        <v>19493.692465052849</v>
      </c>
      <c r="G6" s="5">
        <v>1781.8316805430341</v>
      </c>
      <c r="H6" s="5">
        <v>35636.633610860677</v>
      </c>
      <c r="I6" s="5">
        <v>10.940254726592309</v>
      </c>
      <c r="J6" s="4">
        <v>11</v>
      </c>
      <c r="K6" s="5">
        <v>0.54701273632961545</v>
      </c>
      <c r="L6" s="5">
        <v>1415274.46300716</v>
      </c>
      <c r="M6" s="5">
        <v>72.601661565369469</v>
      </c>
      <c r="N6" s="4" t="s">
        <v>441</v>
      </c>
    </row>
    <row r="7" spans="1:14" x14ac:dyDescent="0.25">
      <c r="A7" s="4" t="s">
        <v>23</v>
      </c>
      <c r="B7" s="4" t="s">
        <v>313</v>
      </c>
      <c r="C7" s="4">
        <v>8</v>
      </c>
      <c r="D7" s="4">
        <v>1</v>
      </c>
      <c r="E7" s="5">
        <v>0.4</v>
      </c>
      <c r="F7" s="5">
        <v>0</v>
      </c>
      <c r="G7" s="5">
        <v>1781.8316805430341</v>
      </c>
      <c r="H7" s="5">
        <v>14254.653444344271</v>
      </c>
      <c r="I7" s="5">
        <v>0</v>
      </c>
      <c r="J7" s="4">
        <v>0</v>
      </c>
      <c r="K7" s="5">
        <v>0</v>
      </c>
      <c r="L7" s="5">
        <v>0</v>
      </c>
      <c r="M7" s="5">
        <v>0</v>
      </c>
      <c r="N7" s="4" t="s">
        <v>441</v>
      </c>
    </row>
    <row r="8" spans="1:14" x14ac:dyDescent="0.25">
      <c r="A8" s="4" t="s">
        <v>25</v>
      </c>
      <c r="B8" s="4" t="s">
        <v>314</v>
      </c>
      <c r="C8" s="4">
        <v>2</v>
      </c>
      <c r="D8" s="4">
        <v>1</v>
      </c>
      <c r="E8" s="5">
        <v>0.4</v>
      </c>
      <c r="F8" s="5">
        <v>0</v>
      </c>
      <c r="G8" s="5">
        <v>1781.8316805430341</v>
      </c>
      <c r="H8" s="5">
        <v>3563.663361086069</v>
      </c>
      <c r="I8" s="5">
        <v>0</v>
      </c>
      <c r="J8" s="4">
        <v>0</v>
      </c>
      <c r="K8" s="5">
        <v>0</v>
      </c>
      <c r="L8" s="5">
        <v>0</v>
      </c>
      <c r="M8" s="5">
        <v>0</v>
      </c>
      <c r="N8" s="4" t="s">
        <v>441</v>
      </c>
    </row>
    <row r="9" spans="1:14" x14ac:dyDescent="0.25">
      <c r="A9" s="4" t="s">
        <v>26</v>
      </c>
      <c r="B9" s="4" t="s">
        <v>315</v>
      </c>
      <c r="C9" s="4">
        <v>2</v>
      </c>
      <c r="D9" s="4">
        <v>1</v>
      </c>
      <c r="E9" s="5">
        <v>0.35</v>
      </c>
      <c r="F9" s="5">
        <v>11169.45107398568</v>
      </c>
      <c r="G9" s="5">
        <v>1559.1027204751549</v>
      </c>
      <c r="H9" s="5">
        <v>3118.2054409503098</v>
      </c>
      <c r="I9" s="5">
        <v>7.1640251327261213</v>
      </c>
      <c r="J9" s="4">
        <v>8</v>
      </c>
      <c r="K9" s="5">
        <v>3.5820125663630611</v>
      </c>
      <c r="L9" s="5">
        <v>1116945.107398568</v>
      </c>
      <c r="M9" s="5">
        <v>100</v>
      </c>
      <c r="N9" s="4" t="s">
        <v>440</v>
      </c>
    </row>
    <row r="10" spans="1:14" x14ac:dyDescent="0.25">
      <c r="A10" s="4" t="s">
        <v>27</v>
      </c>
      <c r="B10" s="4" t="s">
        <v>315</v>
      </c>
      <c r="C10" s="4">
        <v>4</v>
      </c>
      <c r="D10" s="4">
        <v>1</v>
      </c>
      <c r="E10" s="5">
        <v>0.4</v>
      </c>
      <c r="F10" s="5">
        <v>0</v>
      </c>
      <c r="G10" s="5">
        <v>1781.8316805430341</v>
      </c>
      <c r="H10" s="5">
        <v>7127.3267221721371</v>
      </c>
      <c r="I10" s="5">
        <v>0</v>
      </c>
      <c r="J10" s="4">
        <v>0</v>
      </c>
      <c r="K10" s="5">
        <v>0</v>
      </c>
      <c r="L10" s="5">
        <v>0</v>
      </c>
      <c r="M10" s="5">
        <v>0</v>
      </c>
      <c r="N10" s="4" t="s">
        <v>441</v>
      </c>
    </row>
    <row r="11" spans="1:14" x14ac:dyDescent="0.25">
      <c r="A11" s="4" t="s">
        <v>28</v>
      </c>
      <c r="B11" s="4" t="s">
        <v>316</v>
      </c>
      <c r="C11" s="4">
        <v>12</v>
      </c>
      <c r="D11" s="4">
        <v>1</v>
      </c>
      <c r="E11" s="5">
        <v>0.4</v>
      </c>
      <c r="F11" s="5">
        <v>61416.070007955437</v>
      </c>
      <c r="G11" s="5">
        <v>1781.8316805430341</v>
      </c>
      <c r="H11" s="5">
        <v>21381.980166516409</v>
      </c>
      <c r="I11" s="5">
        <v>34.467941432738563</v>
      </c>
      <c r="J11" s="4">
        <v>35</v>
      </c>
      <c r="K11" s="5">
        <v>2.872328452728214</v>
      </c>
      <c r="L11" s="5">
        <v>1837708.830548926</v>
      </c>
      <c r="M11" s="5">
        <v>29.922279792746121</v>
      </c>
      <c r="N11" s="4" t="s">
        <v>440</v>
      </c>
    </row>
    <row r="12" spans="1:14" x14ac:dyDescent="0.25">
      <c r="A12" s="4" t="s">
        <v>29</v>
      </c>
      <c r="B12" s="4" t="s">
        <v>312</v>
      </c>
      <c r="C12" s="4">
        <v>19</v>
      </c>
      <c r="D12" s="4">
        <v>1</v>
      </c>
      <c r="E12" s="5">
        <v>0.4</v>
      </c>
      <c r="F12" s="5">
        <v>0</v>
      </c>
      <c r="G12" s="5">
        <v>1781.8316805430341</v>
      </c>
      <c r="H12" s="5">
        <v>33854.801930317648</v>
      </c>
      <c r="I12" s="5">
        <v>0</v>
      </c>
      <c r="J12" s="4">
        <v>0</v>
      </c>
      <c r="K12" s="5">
        <v>0</v>
      </c>
      <c r="L12" s="5">
        <v>0</v>
      </c>
      <c r="M12" s="5">
        <v>0</v>
      </c>
      <c r="N12" s="4" t="s">
        <v>441</v>
      </c>
    </row>
    <row r="13" spans="1:14" x14ac:dyDescent="0.25">
      <c r="A13" s="4" t="s">
        <v>30</v>
      </c>
      <c r="B13" s="4" t="s">
        <v>316</v>
      </c>
      <c r="C13" s="4">
        <v>15</v>
      </c>
      <c r="D13" s="4">
        <v>1</v>
      </c>
      <c r="E13" s="5">
        <v>0.4</v>
      </c>
      <c r="F13" s="5">
        <v>32884.418683941352</v>
      </c>
      <c r="G13" s="5">
        <v>1781.8316805430341</v>
      </c>
      <c r="H13" s="5">
        <v>26727.475208145519</v>
      </c>
      <c r="I13" s="5">
        <v>18.455401283425061</v>
      </c>
      <c r="J13" s="4">
        <v>19</v>
      </c>
      <c r="K13" s="5">
        <v>1.230360085561671</v>
      </c>
      <c r="L13" s="5">
        <v>1011933.174224344</v>
      </c>
      <c r="M13" s="5">
        <v>30.772420943494041</v>
      </c>
      <c r="N13" s="4" t="s">
        <v>440</v>
      </c>
    </row>
    <row r="14" spans="1:14" x14ac:dyDescent="0.25">
      <c r="A14" s="4" t="s">
        <v>31</v>
      </c>
      <c r="B14" s="4" t="s">
        <v>317</v>
      </c>
      <c r="C14" s="4">
        <v>2</v>
      </c>
      <c r="D14" s="4">
        <v>1</v>
      </c>
      <c r="E14" s="5">
        <v>0.4</v>
      </c>
      <c r="F14" s="5">
        <v>1431.9809069212411</v>
      </c>
      <c r="G14" s="5">
        <v>1781.8316805430341</v>
      </c>
      <c r="H14" s="5">
        <v>3563.663361086069</v>
      </c>
      <c r="I14" s="5">
        <v>0.8036566655301739</v>
      </c>
      <c r="J14" s="4">
        <v>1</v>
      </c>
      <c r="K14" s="5">
        <v>0.40182833276508689</v>
      </c>
      <c r="L14" s="5">
        <v>214797.13603818609</v>
      </c>
      <c r="M14" s="5">
        <v>150</v>
      </c>
      <c r="N14" s="4" t="s">
        <v>441</v>
      </c>
    </row>
    <row r="15" spans="1:14" x14ac:dyDescent="0.25">
      <c r="A15" s="4" t="s">
        <v>32</v>
      </c>
      <c r="B15" s="4" t="s">
        <v>318</v>
      </c>
      <c r="C15" s="4">
        <v>10</v>
      </c>
      <c r="D15" s="4">
        <v>1</v>
      </c>
      <c r="E15" s="5">
        <v>0.4</v>
      </c>
      <c r="F15" s="5">
        <v>44101.602454824417</v>
      </c>
      <c r="G15" s="5">
        <v>1781.8316805430341</v>
      </c>
      <c r="H15" s="5">
        <v>17818.316805430339</v>
      </c>
      <c r="I15" s="5">
        <v>24.750711830078099</v>
      </c>
      <c r="J15" s="4">
        <v>25</v>
      </c>
      <c r="K15" s="5">
        <v>2.47507118300781</v>
      </c>
      <c r="L15" s="5">
        <v>1451073.9856801911</v>
      </c>
      <c r="M15" s="5">
        <v>32.902976420564357</v>
      </c>
      <c r="N15" s="4" t="s">
        <v>440</v>
      </c>
    </row>
    <row r="16" spans="1:14" x14ac:dyDescent="0.25">
      <c r="A16" s="4" t="s">
        <v>33</v>
      </c>
      <c r="B16" s="4"/>
      <c r="C16" s="4">
        <v>2</v>
      </c>
      <c r="D16" s="4">
        <v>1</v>
      </c>
      <c r="E16" s="5">
        <v>0.4</v>
      </c>
      <c r="F16" s="5">
        <v>3068.53051483123</v>
      </c>
      <c r="G16" s="5">
        <v>1781.8316805430341</v>
      </c>
      <c r="H16" s="5">
        <v>3563.663361086069</v>
      </c>
      <c r="I16" s="5">
        <v>1.7221214261360871</v>
      </c>
      <c r="J16" s="4">
        <v>2</v>
      </c>
      <c r="K16" s="5">
        <v>0.86106071306804344</v>
      </c>
      <c r="L16" s="5">
        <v>42959.427207637229</v>
      </c>
      <c r="M16" s="5">
        <v>14</v>
      </c>
      <c r="N16" s="4" t="s">
        <v>441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2" width="10" customWidth="1"/>
    <col min="3" max="4" width="20" customWidth="1"/>
    <col min="5" max="5" width="21" customWidth="1"/>
    <col min="6" max="7" width="10" customWidth="1"/>
  </cols>
  <sheetData>
    <row r="1" spans="1:7" s="20" customFormat="1" x14ac:dyDescent="0.25">
      <c r="A1" s="19" t="s">
        <v>442</v>
      </c>
      <c r="B1" s="19" t="s">
        <v>443</v>
      </c>
      <c r="C1" s="19" t="s">
        <v>421</v>
      </c>
      <c r="D1" s="19" t="s">
        <v>422</v>
      </c>
      <c r="E1" s="19" t="s">
        <v>444</v>
      </c>
      <c r="F1" s="19" t="s">
        <v>439</v>
      </c>
      <c r="G1" s="19" t="s">
        <v>445</v>
      </c>
    </row>
    <row r="2" spans="1:7" x14ac:dyDescent="0.25">
      <c r="A2" s="4" t="s">
        <v>446</v>
      </c>
      <c r="B2" s="4" t="s">
        <v>26</v>
      </c>
      <c r="C2" s="5">
        <v>11169.45107398568</v>
      </c>
      <c r="D2" s="5">
        <v>3118.2054409503098</v>
      </c>
      <c r="E2" s="5">
        <v>3.5820125663630611</v>
      </c>
      <c r="F2" s="4" t="s">
        <v>440</v>
      </c>
      <c r="G2" s="4" t="s">
        <v>447</v>
      </c>
    </row>
    <row r="3" spans="1:7" x14ac:dyDescent="0.25">
      <c r="A3" s="4" t="s">
        <v>446</v>
      </c>
      <c r="B3" s="4" t="s">
        <v>28</v>
      </c>
      <c r="C3" s="5">
        <v>61416.070007955437</v>
      </c>
      <c r="D3" s="5">
        <v>21381.980166516409</v>
      </c>
      <c r="E3" s="5">
        <v>2.872328452728214</v>
      </c>
      <c r="F3" s="4" t="s">
        <v>440</v>
      </c>
      <c r="G3" s="4" t="s">
        <v>447</v>
      </c>
    </row>
    <row r="4" spans="1:7" x14ac:dyDescent="0.25">
      <c r="A4" s="4" t="s">
        <v>446</v>
      </c>
      <c r="B4" s="4" t="s">
        <v>32</v>
      </c>
      <c r="C4" s="5">
        <v>44101.602454824417</v>
      </c>
      <c r="D4" s="5">
        <v>17818.316805430339</v>
      </c>
      <c r="E4" s="5">
        <v>2.47507118300781</v>
      </c>
      <c r="F4" s="4" t="s">
        <v>440</v>
      </c>
      <c r="G4" s="4" t="s">
        <v>447</v>
      </c>
    </row>
    <row r="5" spans="1:7" x14ac:dyDescent="0.25">
      <c r="A5" s="4" t="s">
        <v>15</v>
      </c>
      <c r="B5" s="4" t="s">
        <v>51</v>
      </c>
      <c r="C5" s="5">
        <v>2575178.9976133648</v>
      </c>
      <c r="D5" s="5">
        <v>1470000</v>
      </c>
      <c r="E5" s="5">
        <v>1.75182244735603</v>
      </c>
      <c r="F5" s="4"/>
      <c r="G5" s="4" t="s">
        <v>447</v>
      </c>
    </row>
    <row r="6" spans="1:7" x14ac:dyDescent="0.25">
      <c r="A6" s="4" t="s">
        <v>446</v>
      </c>
      <c r="B6" s="4" t="s">
        <v>191</v>
      </c>
      <c r="C6" s="5">
        <v>89780.307202741562</v>
      </c>
      <c r="D6" s="5">
        <v>55682.240016969823</v>
      </c>
      <c r="E6" s="5">
        <v>1.6123688123067601</v>
      </c>
      <c r="F6" s="4" t="s">
        <v>440</v>
      </c>
      <c r="G6" s="4" t="s">
        <v>447</v>
      </c>
    </row>
    <row r="7" spans="1:7" x14ac:dyDescent="0.25">
      <c r="A7" s="4" t="s">
        <v>15</v>
      </c>
      <c r="B7" s="4" t="s">
        <v>67</v>
      </c>
      <c r="C7" s="5">
        <v>868735.08353221952</v>
      </c>
      <c r="D7" s="5">
        <v>560174.99999999988</v>
      </c>
      <c r="E7" s="5">
        <v>1.5508280154098619</v>
      </c>
      <c r="F7" s="4"/>
      <c r="G7" s="4" t="s">
        <v>447</v>
      </c>
    </row>
    <row r="8" spans="1:7" x14ac:dyDescent="0.25">
      <c r="A8" s="4" t="s">
        <v>446</v>
      </c>
      <c r="B8" s="4" t="s">
        <v>21</v>
      </c>
      <c r="C8" s="5">
        <v>5584.7255369928389</v>
      </c>
      <c r="D8" s="5">
        <v>4454.5792013575856</v>
      </c>
      <c r="E8" s="5">
        <v>1.253704398227071</v>
      </c>
      <c r="F8" s="4" t="s">
        <v>440</v>
      </c>
      <c r="G8" s="4" t="s">
        <v>447</v>
      </c>
    </row>
    <row r="9" spans="1:7" x14ac:dyDescent="0.25">
      <c r="A9" s="4" t="s">
        <v>446</v>
      </c>
      <c r="B9" s="4" t="s">
        <v>30</v>
      </c>
      <c r="C9" s="5">
        <v>32884.418683941352</v>
      </c>
      <c r="D9" s="5">
        <v>26727.475208145519</v>
      </c>
      <c r="E9" s="5">
        <v>1.230360085561671</v>
      </c>
      <c r="F9" s="4" t="s">
        <v>440</v>
      </c>
      <c r="G9" s="4" t="s">
        <v>447</v>
      </c>
    </row>
    <row r="10" spans="1:7" x14ac:dyDescent="0.25">
      <c r="A10" s="4" t="s">
        <v>448</v>
      </c>
      <c r="B10" s="4" t="s">
        <v>424</v>
      </c>
      <c r="C10" s="5">
        <v>5000000</v>
      </c>
      <c r="D10" s="5">
        <v>5125950.0840231543</v>
      </c>
      <c r="E10" s="5">
        <v>0.97542892888954913</v>
      </c>
      <c r="F10" s="4"/>
      <c r="G10" s="4" t="s">
        <v>449</v>
      </c>
    </row>
    <row r="11" spans="1:7" x14ac:dyDescent="0.25">
      <c r="A11" s="4" t="s">
        <v>446</v>
      </c>
      <c r="B11" s="4" t="s">
        <v>34</v>
      </c>
      <c r="C11" s="5">
        <v>6443.9140811455854</v>
      </c>
      <c r="D11" s="5">
        <v>6681.8688020363788</v>
      </c>
      <c r="E11" s="5">
        <v>0.96438799863620861</v>
      </c>
      <c r="F11" s="4" t="s">
        <v>441</v>
      </c>
      <c r="G11" s="4" t="s">
        <v>449</v>
      </c>
    </row>
    <row r="12" spans="1:7" x14ac:dyDescent="0.25">
      <c r="A12" s="4" t="s">
        <v>446</v>
      </c>
      <c r="B12" s="4" t="s">
        <v>33</v>
      </c>
      <c r="C12" s="5">
        <v>3068.53051483123</v>
      </c>
      <c r="D12" s="5">
        <v>3563.663361086069</v>
      </c>
      <c r="E12" s="5">
        <v>0.86106071306804344</v>
      </c>
      <c r="F12" s="4" t="s">
        <v>441</v>
      </c>
      <c r="G12" s="4" t="s">
        <v>450</v>
      </c>
    </row>
    <row r="13" spans="1:7" x14ac:dyDescent="0.25">
      <c r="A13" s="4" t="s">
        <v>446</v>
      </c>
      <c r="B13" s="4" t="s">
        <v>24</v>
      </c>
      <c r="C13" s="5">
        <v>5393.7947494033406</v>
      </c>
      <c r="D13" s="5">
        <v>8018.2425624436546</v>
      </c>
      <c r="E13" s="5">
        <v>0.67269039411044174</v>
      </c>
      <c r="F13" s="4" t="s">
        <v>441</v>
      </c>
      <c r="G13" s="4" t="s">
        <v>451</v>
      </c>
    </row>
    <row r="14" spans="1:7" x14ac:dyDescent="0.25">
      <c r="A14" s="4" t="s">
        <v>446</v>
      </c>
      <c r="B14" s="4" t="s">
        <v>22</v>
      </c>
      <c r="C14" s="5">
        <v>19493.692465052849</v>
      </c>
      <c r="D14" s="5">
        <v>35636.633610860677</v>
      </c>
      <c r="E14" s="5">
        <v>0.54701273632961545</v>
      </c>
      <c r="F14" s="4" t="s">
        <v>441</v>
      </c>
      <c r="G14" s="4" t="s">
        <v>451</v>
      </c>
    </row>
    <row r="15" spans="1:7" x14ac:dyDescent="0.25">
      <c r="A15" s="4" t="s">
        <v>446</v>
      </c>
      <c r="B15" s="4" t="s">
        <v>31</v>
      </c>
      <c r="C15" s="5">
        <v>1431.9809069212411</v>
      </c>
      <c r="D15" s="5">
        <v>3563.663361086069</v>
      </c>
      <c r="E15" s="5">
        <v>0.40182833276508689</v>
      </c>
      <c r="F15" s="4" t="s">
        <v>441</v>
      </c>
      <c r="G15" s="4" t="s">
        <v>451</v>
      </c>
    </row>
    <row r="16" spans="1:7" x14ac:dyDescent="0.25">
      <c r="A16" s="4" t="s">
        <v>15</v>
      </c>
      <c r="B16" s="4" t="s">
        <v>43</v>
      </c>
      <c r="C16" s="5">
        <v>735083.53221957036</v>
      </c>
      <c r="D16" s="5">
        <v>2450000</v>
      </c>
      <c r="E16" s="5">
        <v>0.30003409478349807</v>
      </c>
      <c r="F16" s="4"/>
      <c r="G16" s="4" t="s">
        <v>451</v>
      </c>
    </row>
    <row r="17" spans="1:7" x14ac:dyDescent="0.25">
      <c r="A17" s="4" t="s">
        <v>452</v>
      </c>
      <c r="B17" s="4" t="s">
        <v>429</v>
      </c>
      <c r="C17" s="5">
        <v>996674.01015849691</v>
      </c>
      <c r="D17" s="5">
        <v>7140000</v>
      </c>
      <c r="E17" s="5">
        <v>0.13959019750119001</v>
      </c>
      <c r="F17" s="4"/>
      <c r="G17" s="4" t="s">
        <v>451</v>
      </c>
    </row>
    <row r="18" spans="1:7" x14ac:dyDescent="0.25">
      <c r="A18" s="4" t="s">
        <v>446</v>
      </c>
      <c r="B18" s="4" t="s">
        <v>25</v>
      </c>
      <c r="C18" s="5">
        <v>0</v>
      </c>
      <c r="D18" s="5">
        <v>3563.663361086069</v>
      </c>
      <c r="E18" s="5">
        <v>0</v>
      </c>
      <c r="F18" s="4" t="s">
        <v>441</v>
      </c>
      <c r="G18" s="4" t="s">
        <v>451</v>
      </c>
    </row>
    <row r="19" spans="1:7" x14ac:dyDescent="0.25">
      <c r="A19" s="4" t="s">
        <v>446</v>
      </c>
      <c r="B19" s="4" t="s">
        <v>23</v>
      </c>
      <c r="C19" s="5">
        <v>0</v>
      </c>
      <c r="D19" s="5">
        <v>14254.653444344271</v>
      </c>
      <c r="E19" s="5">
        <v>0</v>
      </c>
      <c r="F19" s="4" t="s">
        <v>441</v>
      </c>
      <c r="G19" s="4" t="s">
        <v>451</v>
      </c>
    </row>
    <row r="20" spans="1:7" x14ac:dyDescent="0.25">
      <c r="A20" s="4" t="s">
        <v>446</v>
      </c>
      <c r="B20" s="4" t="s">
        <v>29</v>
      </c>
      <c r="C20" s="5">
        <v>0</v>
      </c>
      <c r="D20" s="5">
        <v>33854.801930317648</v>
      </c>
      <c r="E20" s="5">
        <v>0</v>
      </c>
      <c r="F20" s="4" t="s">
        <v>441</v>
      </c>
      <c r="G20" s="4" t="s">
        <v>451</v>
      </c>
    </row>
    <row r="21" spans="1:7" x14ac:dyDescent="0.25">
      <c r="A21" s="4" t="s">
        <v>446</v>
      </c>
      <c r="B21" s="4" t="s">
        <v>27</v>
      </c>
      <c r="C21" s="5">
        <v>0</v>
      </c>
      <c r="D21" s="5">
        <v>7127.3267221721371</v>
      </c>
      <c r="E21" s="5">
        <v>0</v>
      </c>
      <c r="F21" s="4" t="s">
        <v>441</v>
      </c>
      <c r="G21" s="4" t="s">
        <v>451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5" width="10" customWidth="1"/>
    <col min="6" max="6" width="20" customWidth="1"/>
    <col min="7" max="7" width="32" customWidth="1"/>
  </cols>
  <sheetData>
    <row r="1" spans="1:7" s="20" customFormat="1" x14ac:dyDescent="0.25">
      <c r="A1" s="19" t="s">
        <v>442</v>
      </c>
      <c r="B1" s="19" t="s">
        <v>443</v>
      </c>
      <c r="C1" s="19" t="s">
        <v>453</v>
      </c>
      <c r="D1" s="19" t="s">
        <v>421</v>
      </c>
      <c r="E1" s="19" t="s">
        <v>454</v>
      </c>
      <c r="F1" s="19" t="s">
        <v>423</v>
      </c>
      <c r="G1" s="19" t="s">
        <v>455</v>
      </c>
    </row>
    <row r="2" spans="1:7" x14ac:dyDescent="0.25">
      <c r="A2" s="4" t="s">
        <v>446</v>
      </c>
      <c r="B2" s="4" t="s">
        <v>26</v>
      </c>
      <c r="C2" s="4" t="s">
        <v>456</v>
      </c>
      <c r="D2" s="4" t="s">
        <v>457</v>
      </c>
      <c r="E2" s="4" t="s">
        <v>458</v>
      </c>
      <c r="F2" s="5">
        <v>3.5820125663630611</v>
      </c>
      <c r="G2" s="4" t="s">
        <v>459</v>
      </c>
    </row>
    <row r="3" spans="1:7" x14ac:dyDescent="0.25">
      <c r="A3" s="4" t="s">
        <v>446</v>
      </c>
      <c r="B3" s="4" t="s">
        <v>28</v>
      </c>
      <c r="C3" s="4" t="s">
        <v>460</v>
      </c>
      <c r="D3" s="4" t="s">
        <v>461</v>
      </c>
      <c r="E3" s="4" t="s">
        <v>462</v>
      </c>
      <c r="F3" s="5">
        <v>2.872328452728214</v>
      </c>
      <c r="G3" s="4" t="s">
        <v>459</v>
      </c>
    </row>
    <row r="4" spans="1:7" x14ac:dyDescent="0.25">
      <c r="A4" s="4" t="s">
        <v>446</v>
      </c>
      <c r="B4" s="4" t="s">
        <v>32</v>
      </c>
      <c r="C4" s="4" t="s">
        <v>463</v>
      </c>
      <c r="D4" s="4" t="s">
        <v>464</v>
      </c>
      <c r="E4" s="4" t="s">
        <v>465</v>
      </c>
      <c r="F4" s="5">
        <v>2.47507118300781</v>
      </c>
      <c r="G4" s="4" t="s">
        <v>459</v>
      </c>
    </row>
    <row r="5" spans="1:7" x14ac:dyDescent="0.25">
      <c r="A5" s="4" t="s">
        <v>446</v>
      </c>
      <c r="B5" s="4" t="s">
        <v>191</v>
      </c>
      <c r="C5" s="4" t="s">
        <v>466</v>
      </c>
      <c r="D5" s="4" t="s">
        <v>467</v>
      </c>
      <c r="E5" s="4" t="s">
        <v>468</v>
      </c>
      <c r="F5" s="5">
        <v>1.6123688123067601</v>
      </c>
      <c r="G5" s="4" t="s">
        <v>459</v>
      </c>
    </row>
    <row r="6" spans="1:7" x14ac:dyDescent="0.25">
      <c r="A6" s="4" t="s">
        <v>446</v>
      </c>
      <c r="B6" s="4" t="s">
        <v>21</v>
      </c>
      <c r="C6" s="4" t="s">
        <v>456</v>
      </c>
      <c r="D6" s="4" t="s">
        <v>469</v>
      </c>
      <c r="E6" s="4" t="s">
        <v>470</v>
      </c>
      <c r="F6" s="5">
        <v>1.253704398227071</v>
      </c>
      <c r="G6" s="4" t="s">
        <v>459</v>
      </c>
    </row>
    <row r="7" spans="1:7" x14ac:dyDescent="0.25">
      <c r="A7" s="4" t="s">
        <v>446</v>
      </c>
      <c r="B7" s="4" t="s">
        <v>30</v>
      </c>
      <c r="C7" s="4" t="s">
        <v>465</v>
      </c>
      <c r="D7" s="4" t="s">
        <v>471</v>
      </c>
      <c r="E7" s="4" t="s">
        <v>472</v>
      </c>
      <c r="F7" s="5">
        <v>1.230360085561671</v>
      </c>
      <c r="G7" s="4" t="s">
        <v>459</v>
      </c>
    </row>
    <row r="8" spans="1:7" ht="28" x14ac:dyDescent="0.25">
      <c r="A8" s="4" t="s">
        <v>15</v>
      </c>
      <c r="B8" s="4" t="s">
        <v>67</v>
      </c>
      <c r="C8" s="4" t="s">
        <v>473</v>
      </c>
      <c r="D8" s="4" t="s">
        <v>474</v>
      </c>
      <c r="E8" s="4" t="s">
        <v>475</v>
      </c>
      <c r="F8" s="5">
        <v>1.5508280154098619</v>
      </c>
      <c r="G8" s="4" t="s">
        <v>476</v>
      </c>
    </row>
    <row r="9" spans="1:7" ht="28" x14ac:dyDescent="0.25">
      <c r="A9" s="4" t="s">
        <v>15</v>
      </c>
      <c r="B9" s="4" t="s">
        <v>51</v>
      </c>
      <c r="C9" s="4" t="s">
        <v>477</v>
      </c>
      <c r="D9" s="4" t="s">
        <v>478</v>
      </c>
      <c r="E9" s="4" t="s">
        <v>479</v>
      </c>
      <c r="F9" s="5">
        <v>1.75182244735603</v>
      </c>
      <c r="G9" s="4" t="s">
        <v>480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1" width="16" customWidth="1"/>
    <col min="2" max="2" width="19" customWidth="1"/>
    <col min="3" max="3" width="21" customWidth="1"/>
    <col min="4" max="5" width="20" customWidth="1"/>
    <col min="6" max="6" width="21" customWidth="1"/>
    <col min="7" max="9" width="20" customWidth="1"/>
  </cols>
  <sheetData>
    <row r="1" spans="1:9" s="20" customFormat="1" x14ac:dyDescent="0.25">
      <c r="A1" s="19" t="s">
        <v>481</v>
      </c>
      <c r="B1" s="19" t="s">
        <v>55</v>
      </c>
      <c r="C1" s="19" t="s">
        <v>59</v>
      </c>
      <c r="D1" s="19" t="s">
        <v>482</v>
      </c>
      <c r="E1" s="19" t="s">
        <v>483</v>
      </c>
      <c r="F1" s="19" t="s">
        <v>484</v>
      </c>
      <c r="G1" s="19" t="s">
        <v>485</v>
      </c>
      <c r="H1" s="19" t="s">
        <v>486</v>
      </c>
      <c r="I1" s="19" t="s">
        <v>487</v>
      </c>
    </row>
    <row r="2" spans="1:9" x14ac:dyDescent="0.25">
      <c r="A2" s="4" t="s">
        <v>488</v>
      </c>
      <c r="B2" s="5">
        <v>1.835799522673031</v>
      </c>
      <c r="C2" s="5">
        <v>0.16420047732696899</v>
      </c>
      <c r="D2" s="5">
        <v>1.5508280154098619</v>
      </c>
      <c r="E2" s="5">
        <v>1.75182244735603</v>
      </c>
      <c r="F2" s="5">
        <v>0.30003409478349807</v>
      </c>
      <c r="G2" s="5">
        <v>3.5820125663630611</v>
      </c>
      <c r="H2" s="5">
        <v>996674.01015849691</v>
      </c>
      <c r="I2" s="5">
        <v>280768.48767779552</v>
      </c>
    </row>
    <row r="3" spans="1:9" ht="28" x14ac:dyDescent="0.25">
      <c r="A3" s="4" t="s">
        <v>489</v>
      </c>
      <c r="B3" s="5">
        <v>1.793794749403341</v>
      </c>
      <c r="C3" s="5">
        <v>0.20620525059665859</v>
      </c>
      <c r="D3" s="5">
        <v>1.528673329475436</v>
      </c>
      <c r="E3" s="5">
        <v>1.6173915867062809</v>
      </c>
      <c r="F3" s="5">
        <v>0.30003409478349807</v>
      </c>
      <c r="G3" s="5">
        <v>3.5820125663630611</v>
      </c>
      <c r="H3" s="5">
        <v>990843.90708734374</v>
      </c>
      <c r="I3" s="5">
        <v>270304.95598276018</v>
      </c>
    </row>
    <row r="4" spans="1:9" ht="28" x14ac:dyDescent="0.25">
      <c r="A4" s="4" t="s">
        <v>490</v>
      </c>
      <c r="B4" s="5">
        <v>1.835799522673031</v>
      </c>
      <c r="C4" s="5">
        <v>0.16420047732696899</v>
      </c>
      <c r="D4" s="5">
        <v>1.3785137914754331</v>
      </c>
      <c r="E4" s="5">
        <v>1.4014579578848241</v>
      </c>
      <c r="F4" s="5">
        <v>0.2400272758267985</v>
      </c>
      <c r="G4" s="5">
        <v>3.5820125663630611</v>
      </c>
      <c r="H4" s="5">
        <v>996674.01015849691</v>
      </c>
      <c r="I4" s="5">
        <v>280768.48767779552</v>
      </c>
    </row>
    <row r="5" spans="1:9" ht="28" x14ac:dyDescent="0.25">
      <c r="A5" s="4" t="s">
        <v>491</v>
      </c>
      <c r="B5" s="5">
        <v>1.835799522673031</v>
      </c>
      <c r="C5" s="5">
        <v>0.16420047732696899</v>
      </c>
      <c r="D5" s="5">
        <v>1.5508280154098619</v>
      </c>
      <c r="E5" s="5">
        <v>1.75182244735603</v>
      </c>
      <c r="F5" s="5">
        <v>0.30003409478349807</v>
      </c>
      <c r="G5" s="5">
        <v>3.1342609955676779</v>
      </c>
      <c r="H5" s="5">
        <v>1009705.03641148</v>
      </c>
      <c r="I5" s="5">
        <v>301245.81464676932</v>
      </c>
    </row>
    <row r="6" spans="1:9" ht="28" x14ac:dyDescent="0.25">
      <c r="A6" s="4" t="s">
        <v>492</v>
      </c>
      <c r="B6" s="5">
        <v>1.835799522673031</v>
      </c>
      <c r="C6" s="5">
        <v>0.16420047732696899</v>
      </c>
      <c r="D6" s="5">
        <v>1.5508280154098619</v>
      </c>
      <c r="E6" s="5">
        <v>1.75182244735603</v>
      </c>
      <c r="F6" s="5">
        <v>0.30003409478349807</v>
      </c>
      <c r="G6" s="5">
        <v>2.453757272764582</v>
      </c>
      <c r="H6" s="5">
        <v>1054195.3193981829</v>
      </c>
      <c r="I6" s="5">
        <v>258117.05001442469</v>
      </c>
    </row>
  </sheetData>
  <phoneticPr fontId="4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1" width="13" customWidth="1"/>
    <col min="2" max="3" width="10" customWidth="1"/>
    <col min="4" max="4" width="19" customWidth="1"/>
    <col min="5" max="5" width="21" customWidth="1"/>
    <col min="6" max="7" width="20" customWidth="1"/>
    <col min="8" max="8" width="21" customWidth="1"/>
    <col min="9" max="9" width="10" customWidth="1"/>
    <col min="10" max="10" width="20" customWidth="1"/>
    <col min="11" max="11" width="21" customWidth="1"/>
  </cols>
  <sheetData>
    <row r="1" spans="1:11" s="20" customFormat="1" ht="28" x14ac:dyDescent="0.25">
      <c r="A1" s="19" t="s">
        <v>142</v>
      </c>
      <c r="B1" s="19" t="s">
        <v>493</v>
      </c>
      <c r="C1" s="19" t="s">
        <v>494</v>
      </c>
      <c r="D1" s="19" t="s">
        <v>55</v>
      </c>
      <c r="E1" s="19" t="s">
        <v>59</v>
      </c>
      <c r="F1" s="19" t="s">
        <v>482</v>
      </c>
      <c r="G1" s="19" t="s">
        <v>483</v>
      </c>
      <c r="H1" s="19" t="s">
        <v>484</v>
      </c>
      <c r="I1" s="19" t="s">
        <v>495</v>
      </c>
      <c r="J1" s="19" t="s">
        <v>485</v>
      </c>
      <c r="K1" s="19" t="s">
        <v>496</v>
      </c>
    </row>
    <row r="2" spans="1:11" ht="28" x14ac:dyDescent="0.25">
      <c r="A2" s="4" t="s">
        <v>497</v>
      </c>
      <c r="B2" s="5">
        <v>500</v>
      </c>
      <c r="C2" s="5">
        <v>917.9</v>
      </c>
      <c r="D2" s="5">
        <v>1.835799522673031</v>
      </c>
      <c r="E2" s="5">
        <v>0.16420047732696899</v>
      </c>
      <c r="F2" s="5">
        <v>1.5508280154098619</v>
      </c>
      <c r="G2" s="5">
        <v>1.75182244735603</v>
      </c>
      <c r="H2" s="5">
        <v>0.30003409478349807</v>
      </c>
      <c r="I2" s="4" t="s">
        <v>26</v>
      </c>
      <c r="J2" s="5">
        <v>3.5820125663630611</v>
      </c>
      <c r="K2" s="5">
        <v>0.13959019750119001</v>
      </c>
    </row>
    <row r="3" spans="1:11" ht="28" x14ac:dyDescent="0.25">
      <c r="A3" s="4" t="s">
        <v>498</v>
      </c>
      <c r="B3" s="5">
        <v>419</v>
      </c>
      <c r="C3" s="5">
        <v>769.2</v>
      </c>
      <c r="D3" s="5">
        <v>1.835799522673031</v>
      </c>
      <c r="E3" s="5">
        <v>0.16420047732696899</v>
      </c>
      <c r="F3" s="5">
        <v>1.299593876913465</v>
      </c>
      <c r="G3" s="5">
        <v>1.468027210884354</v>
      </c>
      <c r="H3" s="5">
        <v>0.25142857142857139</v>
      </c>
      <c r="I3" s="4" t="s">
        <v>26</v>
      </c>
      <c r="J3" s="5">
        <v>3.0017265306122449</v>
      </c>
      <c r="K3" s="5">
        <v>0.11697658550599729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0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14" width="10" customWidth="1"/>
    <col min="15" max="15" width="15" customWidth="1"/>
    <col min="16" max="17" width="10" customWidth="1"/>
    <col min="18" max="18" width="31" customWidth="1"/>
  </cols>
  <sheetData>
    <row r="1" spans="1:18" s="20" customFormat="1" ht="28" x14ac:dyDescent="0.25">
      <c r="A1" s="19" t="s">
        <v>319</v>
      </c>
      <c r="B1" s="19" t="s">
        <v>320</v>
      </c>
      <c r="C1" s="19" t="s">
        <v>134</v>
      </c>
      <c r="D1" s="19" t="s">
        <v>135</v>
      </c>
      <c r="E1" s="19" t="s">
        <v>321</v>
      </c>
      <c r="F1" s="19" t="s">
        <v>322</v>
      </c>
      <c r="G1" s="19" t="s">
        <v>323</v>
      </c>
      <c r="H1" s="19" t="s">
        <v>324</v>
      </c>
      <c r="I1" s="19" t="s">
        <v>325</v>
      </c>
      <c r="J1" s="19" t="s">
        <v>326</v>
      </c>
      <c r="K1" s="19" t="s">
        <v>327</v>
      </c>
      <c r="L1" s="19" t="s">
        <v>328</v>
      </c>
      <c r="M1" s="19" t="s">
        <v>329</v>
      </c>
      <c r="N1" s="19" t="s">
        <v>330</v>
      </c>
      <c r="O1" s="19" t="s">
        <v>138</v>
      </c>
      <c r="P1" s="19" t="s">
        <v>331</v>
      </c>
      <c r="Q1" s="19" t="s">
        <v>332</v>
      </c>
      <c r="R1" s="19" t="s">
        <v>19</v>
      </c>
    </row>
    <row r="2" spans="1:18" ht="28" x14ac:dyDescent="0.25">
      <c r="A2" s="4" t="s">
        <v>333</v>
      </c>
      <c r="B2" s="4" t="s">
        <v>39</v>
      </c>
      <c r="C2" s="4" t="s">
        <v>40</v>
      </c>
      <c r="D2" s="4" t="s">
        <v>143</v>
      </c>
      <c r="E2" s="5">
        <v>35</v>
      </c>
      <c r="F2" s="5">
        <v>1</v>
      </c>
      <c r="G2" s="5">
        <v>350000</v>
      </c>
      <c r="H2" s="5">
        <v>35</v>
      </c>
      <c r="I2" s="4" t="s">
        <v>145</v>
      </c>
      <c r="J2" s="4" t="b">
        <v>0</v>
      </c>
      <c r="K2" s="4" t="b">
        <v>0</v>
      </c>
      <c r="L2" s="4" t="b">
        <v>1</v>
      </c>
      <c r="M2" s="4" t="b">
        <v>1</v>
      </c>
      <c r="N2" s="4" t="s">
        <v>143</v>
      </c>
      <c r="O2" s="4" t="s">
        <v>144</v>
      </c>
      <c r="P2" s="4" t="s">
        <v>43</v>
      </c>
      <c r="Q2" s="4"/>
      <c r="R2" s="4" t="s">
        <v>146</v>
      </c>
    </row>
    <row r="3" spans="1:18" ht="28" x14ac:dyDescent="0.25">
      <c r="A3" s="4" t="s">
        <v>334</v>
      </c>
      <c r="B3" s="4" t="s">
        <v>39</v>
      </c>
      <c r="C3" s="4" t="s">
        <v>49</v>
      </c>
      <c r="D3" s="4" t="s">
        <v>49</v>
      </c>
      <c r="E3" s="5">
        <v>90</v>
      </c>
      <c r="F3" s="5">
        <v>0.6</v>
      </c>
      <c r="G3" s="5">
        <v>540000</v>
      </c>
      <c r="H3" s="5">
        <v>54</v>
      </c>
      <c r="I3" s="4" t="s">
        <v>145</v>
      </c>
      <c r="J3" s="4" t="b">
        <v>0</v>
      </c>
      <c r="K3" s="4" t="b">
        <v>0</v>
      </c>
      <c r="L3" s="4" t="b">
        <v>1</v>
      </c>
      <c r="M3" s="4" t="b">
        <v>0</v>
      </c>
      <c r="N3" s="4" t="s">
        <v>49</v>
      </c>
      <c r="O3" s="4" t="s">
        <v>148</v>
      </c>
      <c r="P3" s="4" t="s">
        <v>51</v>
      </c>
      <c r="Q3" s="4" t="s">
        <v>335</v>
      </c>
      <c r="R3" s="4" t="s">
        <v>336</v>
      </c>
    </row>
    <row r="4" spans="1:18" ht="28" x14ac:dyDescent="0.25">
      <c r="A4" s="4" t="s">
        <v>337</v>
      </c>
      <c r="B4" s="4" t="s">
        <v>39</v>
      </c>
      <c r="C4" s="4" t="s">
        <v>49</v>
      </c>
      <c r="D4" s="4" t="s">
        <v>49</v>
      </c>
      <c r="E4" s="5">
        <v>90</v>
      </c>
      <c r="F4" s="5">
        <v>0.4</v>
      </c>
      <c r="G4" s="5">
        <v>360000</v>
      </c>
      <c r="H4" s="5">
        <v>36</v>
      </c>
      <c r="I4" s="4" t="s">
        <v>145</v>
      </c>
      <c r="J4" s="4" t="b">
        <v>0</v>
      </c>
      <c r="K4" s="4" t="b">
        <v>0</v>
      </c>
      <c r="L4" s="4" t="b">
        <v>1</v>
      </c>
      <c r="M4" s="4" t="b">
        <v>0</v>
      </c>
      <c r="N4" s="4" t="s">
        <v>49</v>
      </c>
      <c r="O4" s="4" t="s">
        <v>148</v>
      </c>
      <c r="P4" s="4" t="s">
        <v>51</v>
      </c>
      <c r="Q4" s="4" t="s">
        <v>338</v>
      </c>
      <c r="R4" s="4" t="s">
        <v>339</v>
      </c>
    </row>
    <row r="5" spans="1:18" ht="28" x14ac:dyDescent="0.25">
      <c r="A5" s="4" t="s">
        <v>340</v>
      </c>
      <c r="B5" s="4" t="s">
        <v>39</v>
      </c>
      <c r="C5" s="4" t="s">
        <v>64</v>
      </c>
      <c r="D5" s="4" t="s">
        <v>64</v>
      </c>
      <c r="E5" s="5">
        <v>15</v>
      </c>
      <c r="F5" s="5">
        <v>1</v>
      </c>
      <c r="G5" s="5">
        <v>150000</v>
      </c>
      <c r="H5" s="5">
        <v>15</v>
      </c>
      <c r="I5" s="4" t="s">
        <v>151</v>
      </c>
      <c r="J5" s="4" t="b">
        <v>0</v>
      </c>
      <c r="K5" s="4" t="b">
        <v>1</v>
      </c>
      <c r="L5" s="4" t="b">
        <v>0</v>
      </c>
      <c r="M5" s="4" t="b">
        <v>0</v>
      </c>
      <c r="N5" s="4" t="s">
        <v>64</v>
      </c>
      <c r="O5" s="4" t="s">
        <v>150</v>
      </c>
      <c r="P5" s="4"/>
      <c r="Q5" s="4"/>
      <c r="R5" s="4" t="s">
        <v>152</v>
      </c>
    </row>
    <row r="6" spans="1:18" ht="28" x14ac:dyDescent="0.25">
      <c r="A6" s="4" t="s">
        <v>341</v>
      </c>
      <c r="B6" s="4" t="s">
        <v>39</v>
      </c>
      <c r="C6" s="4" t="s">
        <v>76</v>
      </c>
      <c r="D6" s="4" t="s">
        <v>76</v>
      </c>
      <c r="E6" s="5">
        <v>19</v>
      </c>
      <c r="F6" s="5">
        <v>1</v>
      </c>
      <c r="G6" s="5">
        <v>190000</v>
      </c>
      <c r="H6" s="5">
        <v>19</v>
      </c>
      <c r="I6" s="4" t="s">
        <v>145</v>
      </c>
      <c r="J6" s="4" t="b">
        <v>0</v>
      </c>
      <c r="K6" s="4" t="b">
        <v>0</v>
      </c>
      <c r="L6" s="4" t="b">
        <v>1</v>
      </c>
      <c r="M6" s="4" t="b">
        <v>0</v>
      </c>
      <c r="N6" s="4" t="s">
        <v>76</v>
      </c>
      <c r="O6" s="4" t="s">
        <v>153</v>
      </c>
      <c r="P6" s="4" t="s">
        <v>51</v>
      </c>
      <c r="Q6" s="4"/>
      <c r="R6" s="4" t="s">
        <v>154</v>
      </c>
    </row>
    <row r="7" spans="1:18" ht="28" x14ac:dyDescent="0.25">
      <c r="A7" s="4" t="s">
        <v>342</v>
      </c>
      <c r="B7" s="4" t="s">
        <v>83</v>
      </c>
      <c r="C7" s="4" t="s">
        <v>84</v>
      </c>
      <c r="D7" s="4" t="s">
        <v>84</v>
      </c>
      <c r="E7" s="5">
        <v>2.4</v>
      </c>
      <c r="F7" s="5">
        <v>1</v>
      </c>
      <c r="G7" s="5">
        <v>24000</v>
      </c>
      <c r="H7" s="5">
        <v>2.4</v>
      </c>
      <c r="I7" s="4" t="s">
        <v>85</v>
      </c>
      <c r="J7" s="4" t="b">
        <v>1</v>
      </c>
      <c r="K7" s="4" t="b">
        <v>0</v>
      </c>
      <c r="L7" s="4" t="b">
        <v>0</v>
      </c>
      <c r="M7" s="4" t="b">
        <v>0</v>
      </c>
      <c r="N7" s="4" t="s">
        <v>84</v>
      </c>
      <c r="O7" s="4" t="s">
        <v>155</v>
      </c>
      <c r="P7" s="4"/>
      <c r="Q7" s="4"/>
      <c r="R7" s="4" t="s">
        <v>156</v>
      </c>
    </row>
    <row r="8" spans="1:18" x14ac:dyDescent="0.25">
      <c r="A8" s="4" t="s">
        <v>343</v>
      </c>
      <c r="B8" s="4" t="s">
        <v>83</v>
      </c>
      <c r="C8" s="4" t="s">
        <v>89</v>
      </c>
      <c r="D8" s="4" t="s">
        <v>89</v>
      </c>
      <c r="E8" s="5">
        <v>36</v>
      </c>
      <c r="F8" s="5">
        <v>0.5</v>
      </c>
      <c r="G8" s="5">
        <v>180000</v>
      </c>
      <c r="H8" s="5">
        <v>18</v>
      </c>
      <c r="I8" s="4" t="s">
        <v>85</v>
      </c>
      <c r="J8" s="4" t="b">
        <v>1</v>
      </c>
      <c r="K8" s="4" t="b">
        <v>0</v>
      </c>
      <c r="L8" s="4" t="b">
        <v>0</v>
      </c>
      <c r="M8" s="4" t="b">
        <v>0</v>
      </c>
      <c r="N8" s="4" t="s">
        <v>89</v>
      </c>
      <c r="O8" s="4" t="s">
        <v>157</v>
      </c>
      <c r="P8" s="4"/>
      <c r="Q8" s="4"/>
      <c r="R8" s="4" t="s">
        <v>156</v>
      </c>
    </row>
    <row r="9" spans="1:18" ht="28" x14ac:dyDescent="0.25">
      <c r="A9" s="4" t="s">
        <v>344</v>
      </c>
      <c r="B9" s="4" t="s">
        <v>83</v>
      </c>
      <c r="C9" s="4" t="s">
        <v>89</v>
      </c>
      <c r="D9" s="4" t="s">
        <v>89</v>
      </c>
      <c r="E9" s="5">
        <v>36</v>
      </c>
      <c r="F9" s="5">
        <v>0.5</v>
      </c>
      <c r="G9" s="5">
        <v>180000</v>
      </c>
      <c r="H9" s="5">
        <v>18</v>
      </c>
      <c r="I9" s="4" t="s">
        <v>345</v>
      </c>
      <c r="J9" s="4" t="b">
        <v>0</v>
      </c>
      <c r="K9" s="4" t="b">
        <v>0</v>
      </c>
      <c r="L9" s="4" t="b">
        <v>1</v>
      </c>
      <c r="M9" s="4" t="b">
        <v>0</v>
      </c>
      <c r="N9" s="4" t="s">
        <v>89</v>
      </c>
      <c r="O9" s="4" t="s">
        <v>157</v>
      </c>
      <c r="P9" s="4" t="s">
        <v>51</v>
      </c>
      <c r="Q9" s="4"/>
      <c r="R9" s="4" t="s">
        <v>346</v>
      </c>
    </row>
    <row r="10" spans="1:18" x14ac:dyDescent="0.25">
      <c r="A10" s="4" t="s">
        <v>347</v>
      </c>
      <c r="B10" s="4" t="s">
        <v>83</v>
      </c>
      <c r="C10" s="4" t="s">
        <v>40</v>
      </c>
      <c r="D10" s="4" t="s">
        <v>40</v>
      </c>
      <c r="E10" s="5">
        <v>10.4</v>
      </c>
      <c r="F10" s="5">
        <v>0.25</v>
      </c>
      <c r="G10" s="5">
        <v>26000</v>
      </c>
      <c r="H10" s="5">
        <v>2.6</v>
      </c>
      <c r="I10" s="4" t="s">
        <v>85</v>
      </c>
      <c r="J10" s="4" t="b">
        <v>1</v>
      </c>
      <c r="K10" s="4" t="b">
        <v>0</v>
      </c>
      <c r="L10" s="4" t="b">
        <v>0</v>
      </c>
      <c r="M10" s="4" t="b">
        <v>0</v>
      </c>
      <c r="N10" s="4" t="s">
        <v>40</v>
      </c>
      <c r="O10" s="4" t="s">
        <v>160</v>
      </c>
      <c r="P10" s="4"/>
      <c r="Q10" s="4"/>
      <c r="R10" s="4" t="s">
        <v>348</v>
      </c>
    </row>
    <row r="11" spans="1:18" ht="28" x14ac:dyDescent="0.25">
      <c r="A11" s="4" t="s">
        <v>349</v>
      </c>
      <c r="B11" s="4" t="s">
        <v>83</v>
      </c>
      <c r="C11" s="4" t="s">
        <v>40</v>
      </c>
      <c r="D11" s="4" t="s">
        <v>40</v>
      </c>
      <c r="E11" s="5">
        <v>10.4</v>
      </c>
      <c r="F11" s="5">
        <v>0.75</v>
      </c>
      <c r="G11" s="5">
        <v>78000</v>
      </c>
      <c r="H11" s="5">
        <v>7.8</v>
      </c>
      <c r="I11" s="4" t="s">
        <v>171</v>
      </c>
      <c r="J11" s="4" t="b">
        <v>0</v>
      </c>
      <c r="K11" s="4" t="b">
        <v>1</v>
      </c>
      <c r="L11" s="4" t="b">
        <v>0</v>
      </c>
      <c r="M11" s="4" t="b">
        <v>0</v>
      </c>
      <c r="N11" s="4" t="s">
        <v>40</v>
      </c>
      <c r="O11" s="4" t="s">
        <v>160</v>
      </c>
      <c r="P11" s="4"/>
      <c r="Q11" s="4"/>
      <c r="R11" s="4" t="s">
        <v>350</v>
      </c>
    </row>
    <row r="12" spans="1:18" x14ac:dyDescent="0.25">
      <c r="A12" s="4" t="s">
        <v>351</v>
      </c>
      <c r="B12" s="4" t="s">
        <v>113</v>
      </c>
      <c r="C12" s="4" t="s">
        <v>114</v>
      </c>
      <c r="D12" s="4" t="s">
        <v>114</v>
      </c>
      <c r="E12" s="5">
        <v>9.6</v>
      </c>
      <c r="F12" s="5">
        <v>0.5</v>
      </c>
      <c r="G12" s="5">
        <v>48000</v>
      </c>
      <c r="H12" s="5">
        <v>4.8</v>
      </c>
      <c r="I12" s="4" t="s">
        <v>115</v>
      </c>
      <c r="J12" s="4" t="b">
        <v>1</v>
      </c>
      <c r="K12" s="4" t="b">
        <v>0</v>
      </c>
      <c r="L12" s="4" t="b">
        <v>0</v>
      </c>
      <c r="M12" s="4" t="b">
        <v>0</v>
      </c>
      <c r="N12" s="4" t="s">
        <v>114</v>
      </c>
      <c r="O12" s="4" t="s">
        <v>150</v>
      </c>
      <c r="P12" s="4"/>
      <c r="Q12" s="4"/>
      <c r="R12" s="4" t="s">
        <v>156</v>
      </c>
    </row>
    <row r="13" spans="1:18" ht="28" x14ac:dyDescent="0.25">
      <c r="A13" s="4" t="s">
        <v>352</v>
      </c>
      <c r="B13" s="4" t="s">
        <v>113</v>
      </c>
      <c r="C13" s="4" t="s">
        <v>114</v>
      </c>
      <c r="D13" s="4" t="s">
        <v>114</v>
      </c>
      <c r="E13" s="5">
        <v>9.6</v>
      </c>
      <c r="F13" s="5">
        <v>0.5</v>
      </c>
      <c r="G13" s="5">
        <v>48000</v>
      </c>
      <c r="H13" s="5">
        <v>4.8</v>
      </c>
      <c r="I13" s="4" t="s">
        <v>145</v>
      </c>
      <c r="J13" s="4" t="b">
        <v>0</v>
      </c>
      <c r="K13" s="4" t="b">
        <v>0</v>
      </c>
      <c r="L13" s="4" t="b">
        <v>1</v>
      </c>
      <c r="M13" s="4" t="b">
        <v>0</v>
      </c>
      <c r="N13" s="4" t="s">
        <v>114</v>
      </c>
      <c r="O13" s="4" t="s">
        <v>150</v>
      </c>
      <c r="P13" s="4" t="s">
        <v>51</v>
      </c>
      <c r="Q13" s="4"/>
      <c r="R13" s="4" t="s">
        <v>353</v>
      </c>
    </row>
    <row r="14" spans="1:18" ht="28" x14ac:dyDescent="0.25">
      <c r="A14" s="4" t="s">
        <v>354</v>
      </c>
      <c r="B14" s="4" t="s">
        <v>113</v>
      </c>
      <c r="C14" s="4" t="s">
        <v>118</v>
      </c>
      <c r="D14" s="4" t="s">
        <v>118</v>
      </c>
      <c r="E14" s="5">
        <v>18</v>
      </c>
      <c r="F14" s="5">
        <v>1</v>
      </c>
      <c r="G14" s="5">
        <v>180000</v>
      </c>
      <c r="H14" s="5">
        <v>18</v>
      </c>
      <c r="I14" s="4" t="s">
        <v>151</v>
      </c>
      <c r="J14" s="4" t="b">
        <v>0</v>
      </c>
      <c r="K14" s="4" t="b">
        <v>1</v>
      </c>
      <c r="L14" s="4" t="b">
        <v>0</v>
      </c>
      <c r="M14" s="4" t="b">
        <v>0</v>
      </c>
      <c r="N14" s="4" t="s">
        <v>118</v>
      </c>
      <c r="O14" s="4" t="s">
        <v>165</v>
      </c>
      <c r="P14" s="4"/>
      <c r="Q14" s="4"/>
      <c r="R14" s="4" t="s">
        <v>166</v>
      </c>
    </row>
    <row r="15" spans="1:18" ht="28" x14ac:dyDescent="0.25">
      <c r="A15" s="4" t="s">
        <v>355</v>
      </c>
      <c r="B15" s="4" t="s">
        <v>113</v>
      </c>
      <c r="C15" s="4" t="s">
        <v>40</v>
      </c>
      <c r="D15" s="4" t="s">
        <v>143</v>
      </c>
      <c r="E15" s="5">
        <v>26.6</v>
      </c>
      <c r="F15" s="5">
        <v>1</v>
      </c>
      <c r="G15" s="5">
        <v>266000</v>
      </c>
      <c r="H15" s="5">
        <v>26.6</v>
      </c>
      <c r="I15" s="4" t="s">
        <v>145</v>
      </c>
      <c r="J15" s="4" t="b">
        <v>0</v>
      </c>
      <c r="K15" s="4" t="b">
        <v>0</v>
      </c>
      <c r="L15" s="4" t="b">
        <v>1</v>
      </c>
      <c r="M15" s="4" t="b">
        <v>1</v>
      </c>
      <c r="N15" s="4" t="s">
        <v>143</v>
      </c>
      <c r="O15" s="4" t="s">
        <v>144</v>
      </c>
      <c r="P15" s="4" t="s">
        <v>43</v>
      </c>
      <c r="Q15" s="4"/>
      <c r="R15" s="4" t="s">
        <v>146</v>
      </c>
    </row>
    <row r="16" spans="1:18" x14ac:dyDescent="0.25">
      <c r="A16" s="4" t="s">
        <v>356</v>
      </c>
      <c r="B16" s="4" t="s">
        <v>122</v>
      </c>
      <c r="C16" s="4" t="s">
        <v>123</v>
      </c>
      <c r="D16" s="4" t="s">
        <v>123</v>
      </c>
      <c r="E16" s="5">
        <v>5</v>
      </c>
      <c r="F16" s="5">
        <v>1</v>
      </c>
      <c r="G16" s="5">
        <v>50000</v>
      </c>
      <c r="H16" s="5">
        <v>5</v>
      </c>
      <c r="I16" s="4" t="s">
        <v>124</v>
      </c>
      <c r="J16" s="4" t="b">
        <v>1</v>
      </c>
      <c r="K16" s="4" t="b">
        <v>0</v>
      </c>
      <c r="L16" s="4" t="b">
        <v>0</v>
      </c>
      <c r="M16" s="4" t="b">
        <v>0</v>
      </c>
      <c r="N16" s="4" t="s">
        <v>123</v>
      </c>
      <c r="O16" s="4" t="s">
        <v>167</v>
      </c>
      <c r="P16" s="4"/>
      <c r="Q16" s="4"/>
      <c r="R16" s="4" t="s">
        <v>168</v>
      </c>
    </row>
    <row r="17" spans="1:18" x14ac:dyDescent="0.25">
      <c r="A17" s="4" t="s">
        <v>357</v>
      </c>
      <c r="B17" s="4" t="s">
        <v>122</v>
      </c>
      <c r="C17" s="4" t="s">
        <v>126</v>
      </c>
      <c r="D17" s="4" t="s">
        <v>126</v>
      </c>
      <c r="E17" s="5">
        <v>120</v>
      </c>
      <c r="F17" s="5">
        <v>0.3</v>
      </c>
      <c r="G17" s="5">
        <v>360000</v>
      </c>
      <c r="H17" s="5">
        <v>36</v>
      </c>
      <c r="I17" s="4" t="s">
        <v>85</v>
      </c>
      <c r="J17" s="4" t="b">
        <v>1</v>
      </c>
      <c r="K17" s="4" t="b">
        <v>0</v>
      </c>
      <c r="L17" s="4" t="b">
        <v>0</v>
      </c>
      <c r="M17" s="4" t="b">
        <v>0</v>
      </c>
      <c r="N17" s="4" t="s">
        <v>126</v>
      </c>
      <c r="O17" s="4" t="s">
        <v>169</v>
      </c>
      <c r="P17" s="4"/>
      <c r="Q17" s="4"/>
      <c r="R17" s="4" t="s">
        <v>156</v>
      </c>
    </row>
    <row r="18" spans="1:18" ht="28" x14ac:dyDescent="0.25">
      <c r="A18" s="4" t="s">
        <v>358</v>
      </c>
      <c r="B18" s="4" t="s">
        <v>122</v>
      </c>
      <c r="C18" s="4" t="s">
        <v>126</v>
      </c>
      <c r="D18" s="4" t="s">
        <v>126</v>
      </c>
      <c r="E18" s="5">
        <v>120</v>
      </c>
      <c r="F18" s="5">
        <v>0.7</v>
      </c>
      <c r="G18" s="5">
        <v>840000</v>
      </c>
      <c r="H18" s="5">
        <v>84</v>
      </c>
      <c r="I18" s="4" t="s">
        <v>345</v>
      </c>
      <c r="J18" s="4" t="b">
        <v>0</v>
      </c>
      <c r="K18" s="4" t="b">
        <v>0</v>
      </c>
      <c r="L18" s="4" t="b">
        <v>1</v>
      </c>
      <c r="M18" s="4" t="b">
        <v>0</v>
      </c>
      <c r="N18" s="4" t="s">
        <v>126</v>
      </c>
      <c r="O18" s="4" t="s">
        <v>169</v>
      </c>
      <c r="P18" s="4" t="s">
        <v>51</v>
      </c>
      <c r="Q18" s="4"/>
      <c r="R18" s="4" t="s">
        <v>346</v>
      </c>
    </row>
    <row r="19" spans="1:18" ht="28" x14ac:dyDescent="0.25">
      <c r="A19" s="4" t="s">
        <v>359</v>
      </c>
      <c r="B19" s="4" t="s">
        <v>122</v>
      </c>
      <c r="C19" s="4" t="s">
        <v>129</v>
      </c>
      <c r="D19" s="4" t="s">
        <v>143</v>
      </c>
      <c r="E19" s="5">
        <v>32</v>
      </c>
      <c r="F19" s="5">
        <v>0.9</v>
      </c>
      <c r="G19" s="5">
        <v>288000</v>
      </c>
      <c r="H19" s="5">
        <v>28.8</v>
      </c>
      <c r="I19" s="4" t="s">
        <v>171</v>
      </c>
      <c r="J19" s="4" t="b">
        <v>0</v>
      </c>
      <c r="K19" s="4" t="b">
        <v>1</v>
      </c>
      <c r="L19" s="4" t="b">
        <v>0</v>
      </c>
      <c r="M19" s="4" t="b">
        <v>1</v>
      </c>
      <c r="N19" s="4" t="s">
        <v>143</v>
      </c>
      <c r="O19" s="4" t="s">
        <v>144</v>
      </c>
      <c r="P19" s="4"/>
      <c r="Q19" s="4" t="s">
        <v>360</v>
      </c>
      <c r="R19" s="4" t="s">
        <v>361</v>
      </c>
    </row>
    <row r="20" spans="1:18" ht="28" x14ac:dyDescent="0.25">
      <c r="A20" s="4" t="s">
        <v>362</v>
      </c>
      <c r="B20" s="4" t="s">
        <v>122</v>
      </c>
      <c r="C20" s="4" t="s">
        <v>129</v>
      </c>
      <c r="D20" s="4" t="s">
        <v>143</v>
      </c>
      <c r="E20" s="5">
        <v>32</v>
      </c>
      <c r="F20" s="5">
        <v>0.1</v>
      </c>
      <c r="G20" s="5">
        <v>32000</v>
      </c>
      <c r="H20" s="5">
        <v>3.2</v>
      </c>
      <c r="I20" s="4" t="s">
        <v>171</v>
      </c>
      <c r="J20" s="4" t="b">
        <v>0</v>
      </c>
      <c r="K20" s="4" t="b">
        <v>1</v>
      </c>
      <c r="L20" s="4" t="b">
        <v>0</v>
      </c>
      <c r="M20" s="4" t="b">
        <v>1</v>
      </c>
      <c r="N20" s="4" t="s">
        <v>143</v>
      </c>
      <c r="O20" s="4" t="s">
        <v>144</v>
      </c>
      <c r="P20" s="4"/>
      <c r="Q20" s="4" t="s">
        <v>363</v>
      </c>
      <c r="R20" s="4" t="s">
        <v>364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1" width="12" customWidth="1"/>
    <col min="2" max="2" width="10" customWidth="1"/>
    <col min="3" max="3" width="21" customWidth="1"/>
    <col min="4" max="4" width="18" customWidth="1"/>
  </cols>
  <sheetData>
    <row r="1" spans="1:4" s="20" customFormat="1" x14ac:dyDescent="0.25">
      <c r="A1" s="19" t="s">
        <v>400</v>
      </c>
      <c r="B1" s="19" t="s">
        <v>37</v>
      </c>
      <c r="C1" s="19" t="s">
        <v>401</v>
      </c>
      <c r="D1" s="19" t="s">
        <v>402</v>
      </c>
    </row>
    <row r="2" spans="1:4" ht="28" x14ac:dyDescent="0.25">
      <c r="A2" s="4" t="s">
        <v>44</v>
      </c>
      <c r="B2" s="4" t="s">
        <v>45</v>
      </c>
      <c r="C2" s="5">
        <v>419</v>
      </c>
      <c r="D2" s="4" t="s">
        <v>403</v>
      </c>
    </row>
    <row r="3" spans="1:4" ht="28" x14ac:dyDescent="0.25">
      <c r="A3" s="4" t="s">
        <v>7</v>
      </c>
      <c r="B3" s="4" t="s">
        <v>45</v>
      </c>
      <c r="C3" s="5">
        <v>769.2</v>
      </c>
      <c r="D3" s="4" t="s">
        <v>404</v>
      </c>
    </row>
    <row r="4" spans="1:4" ht="28" x14ac:dyDescent="0.25">
      <c r="A4" s="4" t="s">
        <v>52</v>
      </c>
      <c r="B4" s="4" t="s">
        <v>45</v>
      </c>
      <c r="C4" s="5">
        <v>1241.5999999999999</v>
      </c>
      <c r="D4" s="4" t="s">
        <v>405</v>
      </c>
    </row>
    <row r="5" spans="1:4" x14ac:dyDescent="0.25">
      <c r="A5" s="4" t="s">
        <v>55</v>
      </c>
      <c r="B5" s="4" t="s">
        <v>56</v>
      </c>
      <c r="C5" s="5">
        <v>1.835799522673031</v>
      </c>
      <c r="D5" s="4" t="s">
        <v>406</v>
      </c>
    </row>
    <row r="6" spans="1:4" ht="28" x14ac:dyDescent="0.25">
      <c r="A6" s="4" t="s">
        <v>59</v>
      </c>
      <c r="B6" s="4" t="s">
        <v>60</v>
      </c>
      <c r="C6" s="5">
        <v>0.16420047732696899</v>
      </c>
      <c r="D6" s="4" t="s">
        <v>407</v>
      </c>
    </row>
    <row r="7" spans="1:4" ht="28" x14ac:dyDescent="0.25">
      <c r="A7" s="4" t="s">
        <v>62</v>
      </c>
      <c r="B7" s="4" t="s">
        <v>60</v>
      </c>
      <c r="C7" s="5">
        <v>1</v>
      </c>
      <c r="D7" s="4" t="s">
        <v>408</v>
      </c>
    </row>
    <row r="8" spans="1:4" ht="28" x14ac:dyDescent="0.25">
      <c r="A8" s="4" t="s">
        <v>68</v>
      </c>
      <c r="B8" s="4" t="s">
        <v>69</v>
      </c>
      <c r="C8" s="5">
        <v>16</v>
      </c>
      <c r="D8" s="4" t="s">
        <v>409</v>
      </c>
    </row>
    <row r="9" spans="1:4" ht="28" x14ac:dyDescent="0.25">
      <c r="A9" s="4" t="s">
        <v>73</v>
      </c>
      <c r="B9" s="4" t="s">
        <v>74</v>
      </c>
      <c r="C9" s="5">
        <v>16</v>
      </c>
      <c r="D9" s="4" t="s">
        <v>410</v>
      </c>
    </row>
    <row r="10" spans="1:4" ht="28" x14ac:dyDescent="0.25">
      <c r="A10" s="4" t="s">
        <v>78</v>
      </c>
      <c r="B10" s="4" t="s">
        <v>79</v>
      </c>
      <c r="C10" s="5">
        <v>9.20962874501509</v>
      </c>
      <c r="D10" s="4" t="s">
        <v>411</v>
      </c>
    </row>
    <row r="11" spans="1:4" ht="28" x14ac:dyDescent="0.25">
      <c r="A11" s="4" t="s">
        <v>81</v>
      </c>
      <c r="B11" s="4" t="s">
        <v>79</v>
      </c>
      <c r="C11" s="5">
        <v>7.0880627052534084</v>
      </c>
      <c r="D11" s="4" t="s">
        <v>412</v>
      </c>
    </row>
    <row r="12" spans="1:4" ht="28" x14ac:dyDescent="0.25">
      <c r="A12" s="4" t="s">
        <v>87</v>
      </c>
      <c r="B12" s="4" t="s">
        <v>79</v>
      </c>
      <c r="C12" s="5">
        <v>11.58611544167516</v>
      </c>
      <c r="D12" s="4" t="s">
        <v>413</v>
      </c>
    </row>
    <row r="13" spans="1:4" ht="28" x14ac:dyDescent="0.25">
      <c r="A13" s="4" t="s">
        <v>91</v>
      </c>
      <c r="B13" s="4" t="s">
        <v>92</v>
      </c>
      <c r="C13" s="5">
        <v>4190</v>
      </c>
      <c r="D13" s="4" t="s">
        <v>414</v>
      </c>
    </row>
    <row r="14" spans="1:4" ht="28" x14ac:dyDescent="0.25">
      <c r="A14" s="4" t="s">
        <v>96</v>
      </c>
      <c r="B14" s="4" t="s">
        <v>92</v>
      </c>
      <c r="C14" s="5">
        <v>7692</v>
      </c>
      <c r="D14" s="4" t="s">
        <v>415</v>
      </c>
    </row>
    <row r="15" spans="1:4" ht="28" x14ac:dyDescent="0.25">
      <c r="A15" s="4" t="s">
        <v>100</v>
      </c>
      <c r="B15" s="4" t="s">
        <v>101</v>
      </c>
      <c r="C15" s="5">
        <v>63.565849256239503</v>
      </c>
      <c r="D15" s="4" t="s">
        <v>416</v>
      </c>
    </row>
    <row r="16" spans="1:4" ht="28" x14ac:dyDescent="0.25">
      <c r="A16" s="4" t="s">
        <v>104</v>
      </c>
      <c r="B16" s="4" t="s">
        <v>101</v>
      </c>
      <c r="C16" s="5">
        <v>64.116280890373417</v>
      </c>
      <c r="D16" s="4" t="s">
        <v>417</v>
      </c>
    </row>
    <row r="17" spans="1:4" ht="28" x14ac:dyDescent="0.25">
      <c r="A17" s="4" t="s">
        <v>107</v>
      </c>
      <c r="B17" s="4" t="s">
        <v>108</v>
      </c>
      <c r="C17" s="5">
        <v>33466.666666666657</v>
      </c>
      <c r="D17" s="4" t="s">
        <v>418</v>
      </c>
    </row>
    <row r="18" spans="1:4" ht="28" x14ac:dyDescent="0.25">
      <c r="A18" s="4" t="s">
        <v>111</v>
      </c>
      <c r="B18" s="4" t="s">
        <v>108</v>
      </c>
      <c r="C18" s="5">
        <v>35533.333333333343</v>
      </c>
      <c r="D18" s="4" t="s">
        <v>419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4" width="10" customWidth="1"/>
    <col min="5" max="5" width="12" customWidth="1"/>
    <col min="6" max="6" width="13" customWidth="1"/>
    <col min="7" max="8" width="11" customWidth="1"/>
    <col min="9" max="9" width="10" customWidth="1"/>
  </cols>
  <sheetData>
    <row r="1" spans="1:9" s="20" customFormat="1" ht="28" x14ac:dyDescent="0.25">
      <c r="A1" s="19" t="s">
        <v>365</v>
      </c>
      <c r="B1" s="19" t="s">
        <v>319</v>
      </c>
      <c r="C1" s="19" t="s">
        <v>134</v>
      </c>
      <c r="D1" s="19" t="s">
        <v>6</v>
      </c>
      <c r="E1" s="19" t="s">
        <v>499</v>
      </c>
      <c r="F1" s="19" t="s">
        <v>500</v>
      </c>
      <c r="G1" s="19" t="s">
        <v>501</v>
      </c>
      <c r="H1" s="19" t="s">
        <v>502</v>
      </c>
      <c r="I1" s="19" t="s">
        <v>503</v>
      </c>
    </row>
    <row r="2" spans="1:9" x14ac:dyDescent="0.25">
      <c r="A2" s="4" t="s">
        <v>368</v>
      </c>
      <c r="B2" s="4" t="s">
        <v>333</v>
      </c>
      <c r="C2" s="4" t="s">
        <v>40</v>
      </c>
      <c r="D2" s="4" t="s">
        <v>41</v>
      </c>
      <c r="E2" s="4" t="s">
        <v>270</v>
      </c>
      <c r="F2" s="4" t="s">
        <v>270</v>
      </c>
      <c r="G2" s="5">
        <v>200</v>
      </c>
      <c r="H2" s="5">
        <v>200</v>
      </c>
      <c r="I2" s="4" t="b">
        <v>0</v>
      </c>
    </row>
    <row r="3" spans="1:9" ht="28" x14ac:dyDescent="0.25">
      <c r="A3" s="4" t="s">
        <v>369</v>
      </c>
      <c r="B3" s="4" t="s">
        <v>333</v>
      </c>
      <c r="C3" s="4" t="s">
        <v>40</v>
      </c>
      <c r="D3" s="4" t="s">
        <v>47</v>
      </c>
      <c r="E3" s="4" t="s">
        <v>281</v>
      </c>
      <c r="F3" s="4" t="s">
        <v>281</v>
      </c>
      <c r="G3" s="5">
        <v>200</v>
      </c>
      <c r="H3" s="5">
        <v>200</v>
      </c>
      <c r="I3" s="4" t="b">
        <v>0</v>
      </c>
    </row>
    <row r="4" spans="1:9" ht="28" x14ac:dyDescent="0.25">
      <c r="A4" s="4" t="s">
        <v>370</v>
      </c>
      <c r="B4" s="4" t="s">
        <v>334</v>
      </c>
      <c r="C4" s="4" t="s">
        <v>49</v>
      </c>
      <c r="D4" s="4" t="s">
        <v>41</v>
      </c>
      <c r="E4" s="4" t="s">
        <v>210</v>
      </c>
      <c r="F4" s="4" t="s">
        <v>210</v>
      </c>
      <c r="G4" s="5">
        <v>100</v>
      </c>
      <c r="H4" s="5">
        <v>100</v>
      </c>
      <c r="I4" s="4" t="b">
        <v>0</v>
      </c>
    </row>
    <row r="5" spans="1:9" ht="28" x14ac:dyDescent="0.25">
      <c r="A5" s="4" t="s">
        <v>371</v>
      </c>
      <c r="B5" s="4" t="s">
        <v>334</v>
      </c>
      <c r="C5" s="4" t="s">
        <v>49</v>
      </c>
      <c r="D5" s="4" t="s">
        <v>47</v>
      </c>
      <c r="E5" s="4" t="s">
        <v>201</v>
      </c>
      <c r="F5" s="4" t="s">
        <v>201</v>
      </c>
      <c r="G5" s="5">
        <v>80</v>
      </c>
      <c r="H5" s="5">
        <v>80</v>
      </c>
      <c r="I5" s="4" t="b">
        <v>0</v>
      </c>
    </row>
    <row r="6" spans="1:9" ht="28" x14ac:dyDescent="0.25">
      <c r="A6" s="4" t="s">
        <v>372</v>
      </c>
      <c r="B6" s="4" t="s">
        <v>337</v>
      </c>
      <c r="C6" s="4" t="s">
        <v>49</v>
      </c>
      <c r="D6" s="4" t="s">
        <v>41</v>
      </c>
      <c r="E6" s="4" t="s">
        <v>216</v>
      </c>
      <c r="F6" s="4" t="s">
        <v>216</v>
      </c>
      <c r="G6" s="5">
        <v>50</v>
      </c>
      <c r="H6" s="5">
        <v>50</v>
      </c>
      <c r="I6" s="4" t="b">
        <v>0</v>
      </c>
    </row>
    <row r="7" spans="1:9" ht="28" x14ac:dyDescent="0.25">
      <c r="A7" s="4" t="s">
        <v>373</v>
      </c>
      <c r="B7" s="4" t="s">
        <v>337</v>
      </c>
      <c r="C7" s="4" t="s">
        <v>49</v>
      </c>
      <c r="D7" s="4" t="s">
        <v>47</v>
      </c>
      <c r="E7" s="4" t="s">
        <v>201</v>
      </c>
      <c r="F7" s="4" t="s">
        <v>201</v>
      </c>
      <c r="G7" s="5">
        <v>80</v>
      </c>
      <c r="H7" s="5">
        <v>80</v>
      </c>
      <c r="I7" s="4" t="b">
        <v>0</v>
      </c>
    </row>
    <row r="8" spans="1:9" x14ac:dyDescent="0.25">
      <c r="A8" s="4" t="s">
        <v>374</v>
      </c>
      <c r="B8" s="4" t="s">
        <v>340</v>
      </c>
      <c r="C8" s="4" t="s">
        <v>64</v>
      </c>
      <c r="D8" s="4" t="s">
        <v>65</v>
      </c>
      <c r="E8" s="4" t="s">
        <v>30</v>
      </c>
      <c r="F8" s="4" t="s">
        <v>30</v>
      </c>
      <c r="G8" s="5">
        <v>35</v>
      </c>
      <c r="H8" s="5">
        <v>35</v>
      </c>
      <c r="I8" s="4" t="b">
        <v>0</v>
      </c>
    </row>
    <row r="9" spans="1:9" ht="28" x14ac:dyDescent="0.25">
      <c r="A9" s="4" t="s">
        <v>375</v>
      </c>
      <c r="B9" s="4" t="s">
        <v>340</v>
      </c>
      <c r="C9" s="4" t="s">
        <v>64</v>
      </c>
      <c r="D9" s="4" t="s">
        <v>71</v>
      </c>
      <c r="E9" s="4" t="s">
        <v>226</v>
      </c>
      <c r="F9" s="4" t="s">
        <v>230</v>
      </c>
      <c r="G9" s="5">
        <v>40</v>
      </c>
      <c r="H9" s="5">
        <v>35</v>
      </c>
      <c r="I9" s="4" t="b">
        <v>1</v>
      </c>
    </row>
    <row r="10" spans="1:9" x14ac:dyDescent="0.25">
      <c r="A10" s="4" t="s">
        <v>376</v>
      </c>
      <c r="B10" s="4" t="s">
        <v>341</v>
      </c>
      <c r="C10" s="4" t="s">
        <v>76</v>
      </c>
      <c r="D10" s="4" t="s">
        <v>41</v>
      </c>
      <c r="E10" s="4" t="s">
        <v>28</v>
      </c>
      <c r="F10" s="4" t="s">
        <v>28</v>
      </c>
      <c r="G10" s="5">
        <v>60</v>
      </c>
      <c r="H10" s="5">
        <v>60</v>
      </c>
      <c r="I10" s="4" t="b">
        <v>0</v>
      </c>
    </row>
    <row r="11" spans="1:9" ht="28" x14ac:dyDescent="0.25">
      <c r="A11" s="4" t="s">
        <v>377</v>
      </c>
      <c r="B11" s="4" t="s">
        <v>341</v>
      </c>
      <c r="C11" s="4" t="s">
        <v>76</v>
      </c>
      <c r="D11" s="4" t="s">
        <v>47</v>
      </c>
      <c r="E11" s="4" t="s">
        <v>201</v>
      </c>
      <c r="F11" s="4" t="s">
        <v>235</v>
      </c>
      <c r="G11" s="5">
        <v>50</v>
      </c>
      <c r="H11" s="5">
        <v>50</v>
      </c>
      <c r="I11" s="4" t="b">
        <v>1</v>
      </c>
    </row>
    <row r="12" spans="1:9" x14ac:dyDescent="0.25">
      <c r="A12" s="4" t="s">
        <v>378</v>
      </c>
      <c r="B12" s="4" t="s">
        <v>342</v>
      </c>
      <c r="C12" s="4" t="s">
        <v>84</v>
      </c>
      <c r="D12" s="4" t="s">
        <v>85</v>
      </c>
      <c r="E12" s="4" t="s">
        <v>191</v>
      </c>
      <c r="F12" s="4" t="s">
        <v>242</v>
      </c>
      <c r="G12" s="5">
        <v>30</v>
      </c>
      <c r="H12" s="5">
        <v>25</v>
      </c>
      <c r="I12" s="4" t="b">
        <v>1</v>
      </c>
    </row>
    <row r="13" spans="1:9" x14ac:dyDescent="0.25">
      <c r="A13" s="4" t="s">
        <v>379</v>
      </c>
      <c r="B13" s="4" t="s">
        <v>343</v>
      </c>
      <c r="C13" s="4" t="s">
        <v>89</v>
      </c>
      <c r="D13" s="4" t="s">
        <v>85</v>
      </c>
      <c r="E13" s="4" t="s">
        <v>244</v>
      </c>
      <c r="F13" s="4" t="s">
        <v>244</v>
      </c>
      <c r="G13" s="5">
        <v>65</v>
      </c>
      <c r="H13" s="5">
        <v>65</v>
      </c>
      <c r="I13" s="4" t="b">
        <v>0</v>
      </c>
    </row>
    <row r="14" spans="1:9" x14ac:dyDescent="0.25">
      <c r="A14" s="4" t="s">
        <v>380</v>
      </c>
      <c r="B14" s="4" t="s">
        <v>344</v>
      </c>
      <c r="C14" s="4" t="s">
        <v>89</v>
      </c>
      <c r="D14" s="4" t="s">
        <v>94</v>
      </c>
      <c r="E14" s="4" t="s">
        <v>244</v>
      </c>
      <c r="F14" s="4" t="s">
        <v>244</v>
      </c>
      <c r="G14" s="5">
        <v>70</v>
      </c>
      <c r="H14" s="5">
        <v>70</v>
      </c>
      <c r="I14" s="4" t="b">
        <v>0</v>
      </c>
    </row>
    <row r="15" spans="1:9" x14ac:dyDescent="0.25">
      <c r="A15" s="4" t="s">
        <v>381</v>
      </c>
      <c r="B15" s="4" t="s">
        <v>344</v>
      </c>
      <c r="C15" s="4" t="s">
        <v>89</v>
      </c>
      <c r="D15" s="4" t="s">
        <v>98</v>
      </c>
      <c r="E15" s="4" t="s">
        <v>31</v>
      </c>
      <c r="F15" s="4" t="s">
        <v>31</v>
      </c>
      <c r="G15" s="5">
        <v>150</v>
      </c>
      <c r="H15" s="5">
        <v>150</v>
      </c>
      <c r="I15" s="4" t="b">
        <v>0</v>
      </c>
    </row>
    <row r="16" spans="1:9" x14ac:dyDescent="0.25">
      <c r="A16" s="4" t="s">
        <v>382</v>
      </c>
      <c r="B16" s="4" t="s">
        <v>347</v>
      </c>
      <c r="C16" s="4" t="s">
        <v>40</v>
      </c>
      <c r="D16" s="4" t="s">
        <v>85</v>
      </c>
      <c r="E16" s="4" t="s">
        <v>191</v>
      </c>
      <c r="F16" s="4" t="s">
        <v>191</v>
      </c>
      <c r="G16" s="5">
        <v>25</v>
      </c>
      <c r="H16" s="5">
        <v>25</v>
      </c>
      <c r="I16" s="4" t="b">
        <v>0</v>
      </c>
    </row>
    <row r="17" spans="1:9" ht="28" x14ac:dyDescent="0.25">
      <c r="A17" s="4" t="s">
        <v>383</v>
      </c>
      <c r="B17" s="4" t="s">
        <v>349</v>
      </c>
      <c r="C17" s="4" t="s">
        <v>40</v>
      </c>
      <c r="D17" s="4" t="s">
        <v>106</v>
      </c>
      <c r="E17" s="4" t="s">
        <v>266</v>
      </c>
      <c r="F17" s="4" t="s">
        <v>266</v>
      </c>
      <c r="G17" s="5">
        <v>35</v>
      </c>
      <c r="H17" s="5">
        <v>35</v>
      </c>
      <c r="I17" s="4" t="b">
        <v>0</v>
      </c>
    </row>
    <row r="18" spans="1:9" x14ac:dyDescent="0.25">
      <c r="A18" s="4" t="s">
        <v>384</v>
      </c>
      <c r="B18" s="4" t="s">
        <v>349</v>
      </c>
      <c r="C18" s="4" t="s">
        <v>40</v>
      </c>
      <c r="D18" s="4" t="s">
        <v>110</v>
      </c>
      <c r="E18" s="4" t="s">
        <v>30</v>
      </c>
      <c r="F18" s="4" t="s">
        <v>30</v>
      </c>
      <c r="G18" s="5">
        <v>25</v>
      </c>
      <c r="H18" s="5">
        <v>25</v>
      </c>
      <c r="I18" s="4" t="b">
        <v>0</v>
      </c>
    </row>
    <row r="19" spans="1:9" x14ac:dyDescent="0.25">
      <c r="A19" s="4" t="s">
        <v>385</v>
      </c>
      <c r="B19" s="4" t="s">
        <v>351</v>
      </c>
      <c r="C19" s="4" t="s">
        <v>114</v>
      </c>
      <c r="D19" s="4" t="s">
        <v>115</v>
      </c>
      <c r="E19" s="4" t="s">
        <v>191</v>
      </c>
      <c r="F19" s="4" t="s">
        <v>191</v>
      </c>
      <c r="G19" s="5">
        <v>50</v>
      </c>
      <c r="H19" s="5">
        <v>50</v>
      </c>
      <c r="I19" s="4" t="b">
        <v>0</v>
      </c>
    </row>
    <row r="20" spans="1:9" x14ac:dyDescent="0.25">
      <c r="A20" s="4" t="s">
        <v>386</v>
      </c>
      <c r="B20" s="4" t="s">
        <v>352</v>
      </c>
      <c r="C20" s="4" t="s">
        <v>114</v>
      </c>
      <c r="D20" s="4" t="s">
        <v>41</v>
      </c>
      <c r="E20" s="4" t="s">
        <v>22</v>
      </c>
      <c r="F20" s="4" t="s">
        <v>22</v>
      </c>
      <c r="G20" s="5">
        <v>70</v>
      </c>
      <c r="H20" s="5">
        <v>70</v>
      </c>
      <c r="I20" s="4" t="b">
        <v>0</v>
      </c>
    </row>
    <row r="21" spans="1:9" ht="28" x14ac:dyDescent="0.25">
      <c r="A21" s="4" t="s">
        <v>387</v>
      </c>
      <c r="B21" s="4" t="s">
        <v>352</v>
      </c>
      <c r="C21" s="4" t="s">
        <v>114</v>
      </c>
      <c r="D21" s="4" t="s">
        <v>47</v>
      </c>
      <c r="E21" s="4" t="s">
        <v>201</v>
      </c>
      <c r="F21" s="4" t="s">
        <v>201</v>
      </c>
      <c r="G21" s="5">
        <v>80</v>
      </c>
      <c r="H21" s="5">
        <v>80</v>
      </c>
      <c r="I21" s="4" t="b">
        <v>0</v>
      </c>
    </row>
    <row r="22" spans="1:9" x14ac:dyDescent="0.25">
      <c r="A22" s="4" t="s">
        <v>388</v>
      </c>
      <c r="B22" s="4" t="s">
        <v>354</v>
      </c>
      <c r="C22" s="4" t="s">
        <v>118</v>
      </c>
      <c r="D22" s="4" t="s">
        <v>65</v>
      </c>
      <c r="E22" s="4" t="s">
        <v>30</v>
      </c>
      <c r="F22" s="4" t="s">
        <v>30</v>
      </c>
      <c r="G22" s="5">
        <v>35</v>
      </c>
      <c r="H22" s="5">
        <v>35</v>
      </c>
      <c r="I22" s="4" t="b">
        <v>0</v>
      </c>
    </row>
    <row r="23" spans="1:9" ht="28" x14ac:dyDescent="0.25">
      <c r="A23" s="4" t="s">
        <v>389</v>
      </c>
      <c r="B23" s="4" t="s">
        <v>354</v>
      </c>
      <c r="C23" s="4" t="s">
        <v>118</v>
      </c>
      <c r="D23" s="4" t="s">
        <v>71</v>
      </c>
      <c r="E23" s="4" t="s">
        <v>261</v>
      </c>
      <c r="F23" s="4" t="s">
        <v>242</v>
      </c>
      <c r="G23" s="5">
        <v>45</v>
      </c>
      <c r="H23" s="5">
        <v>40</v>
      </c>
      <c r="I23" s="4" t="b">
        <v>1</v>
      </c>
    </row>
    <row r="24" spans="1:9" x14ac:dyDescent="0.25">
      <c r="A24" s="4" t="s">
        <v>390</v>
      </c>
      <c r="B24" s="4" t="s">
        <v>355</v>
      </c>
      <c r="C24" s="4" t="s">
        <v>40</v>
      </c>
      <c r="D24" s="4" t="s">
        <v>41</v>
      </c>
      <c r="E24" s="4" t="s">
        <v>270</v>
      </c>
      <c r="F24" s="4" t="s">
        <v>270</v>
      </c>
      <c r="G24" s="5">
        <v>200</v>
      </c>
      <c r="H24" s="5">
        <v>200</v>
      </c>
      <c r="I24" s="4" t="b">
        <v>0</v>
      </c>
    </row>
    <row r="25" spans="1:9" ht="28" x14ac:dyDescent="0.25">
      <c r="A25" s="4" t="s">
        <v>391</v>
      </c>
      <c r="B25" s="4" t="s">
        <v>355</v>
      </c>
      <c r="C25" s="4" t="s">
        <v>40</v>
      </c>
      <c r="D25" s="4" t="s">
        <v>47</v>
      </c>
      <c r="E25" s="4" t="s">
        <v>281</v>
      </c>
      <c r="F25" s="4" t="s">
        <v>286</v>
      </c>
      <c r="G25" s="5">
        <v>200</v>
      </c>
      <c r="H25" s="5">
        <v>150</v>
      </c>
      <c r="I25" s="4" t="b">
        <v>1</v>
      </c>
    </row>
    <row r="26" spans="1:9" x14ac:dyDescent="0.25">
      <c r="A26" s="4" t="s">
        <v>392</v>
      </c>
      <c r="B26" s="4" t="s">
        <v>356</v>
      </c>
      <c r="C26" s="4" t="s">
        <v>123</v>
      </c>
      <c r="D26" s="4" t="s">
        <v>124</v>
      </c>
      <c r="E26" s="4" t="s">
        <v>191</v>
      </c>
      <c r="F26" s="4" t="s">
        <v>242</v>
      </c>
      <c r="G26" s="5">
        <v>30</v>
      </c>
      <c r="H26" s="5">
        <v>30</v>
      </c>
      <c r="I26" s="4" t="b">
        <v>1</v>
      </c>
    </row>
    <row r="27" spans="1:9" x14ac:dyDescent="0.25">
      <c r="A27" s="4" t="s">
        <v>393</v>
      </c>
      <c r="B27" s="4" t="s">
        <v>357</v>
      </c>
      <c r="C27" s="4" t="s">
        <v>126</v>
      </c>
      <c r="D27" s="4" t="s">
        <v>85</v>
      </c>
      <c r="E27" s="4" t="s">
        <v>191</v>
      </c>
      <c r="F27" s="4" t="s">
        <v>191</v>
      </c>
      <c r="G27" s="5">
        <v>40</v>
      </c>
      <c r="H27" s="5">
        <v>40</v>
      </c>
      <c r="I27" s="4" t="b">
        <v>0</v>
      </c>
    </row>
    <row r="28" spans="1:9" ht="28" x14ac:dyDescent="0.25">
      <c r="A28" s="4" t="s">
        <v>394</v>
      </c>
      <c r="B28" s="4" t="s">
        <v>358</v>
      </c>
      <c r="C28" s="4" t="s">
        <v>126</v>
      </c>
      <c r="D28" s="4" t="s">
        <v>94</v>
      </c>
      <c r="E28" s="4" t="s">
        <v>206</v>
      </c>
      <c r="F28" s="4" t="s">
        <v>206</v>
      </c>
      <c r="G28" s="5">
        <v>50</v>
      </c>
      <c r="H28" s="5">
        <v>50</v>
      </c>
      <c r="I28" s="4" t="b">
        <v>0</v>
      </c>
    </row>
    <row r="29" spans="1:9" x14ac:dyDescent="0.25">
      <c r="A29" s="4" t="s">
        <v>395</v>
      </c>
      <c r="B29" s="4" t="s">
        <v>358</v>
      </c>
      <c r="C29" s="4" t="s">
        <v>126</v>
      </c>
      <c r="D29" s="4" t="s">
        <v>98</v>
      </c>
      <c r="E29" s="4" t="s">
        <v>191</v>
      </c>
      <c r="F29" s="4" t="s">
        <v>191</v>
      </c>
      <c r="G29" s="5">
        <v>60</v>
      </c>
      <c r="H29" s="5">
        <v>60</v>
      </c>
      <c r="I29" s="4" t="b">
        <v>0</v>
      </c>
    </row>
    <row r="30" spans="1:9" ht="28" x14ac:dyDescent="0.25">
      <c r="A30" s="4" t="s">
        <v>396</v>
      </c>
      <c r="B30" s="4" t="s">
        <v>359</v>
      </c>
      <c r="C30" s="4" t="s">
        <v>129</v>
      </c>
      <c r="D30" s="4" t="s">
        <v>106</v>
      </c>
      <c r="E30" s="4" t="s">
        <v>281</v>
      </c>
      <c r="F30" s="4" t="s">
        <v>281</v>
      </c>
      <c r="G30" s="5">
        <v>200</v>
      </c>
      <c r="H30" s="5">
        <v>200</v>
      </c>
      <c r="I30" s="4" t="b">
        <v>0</v>
      </c>
    </row>
    <row r="31" spans="1:9" x14ac:dyDescent="0.25">
      <c r="A31" s="4" t="s">
        <v>397</v>
      </c>
      <c r="B31" s="4" t="s">
        <v>359</v>
      </c>
      <c r="C31" s="4" t="s">
        <v>129</v>
      </c>
      <c r="D31" s="4" t="s">
        <v>110</v>
      </c>
      <c r="E31" s="4" t="s">
        <v>270</v>
      </c>
      <c r="F31" s="4" t="s">
        <v>270</v>
      </c>
      <c r="G31" s="5">
        <v>200</v>
      </c>
      <c r="H31" s="5">
        <v>200</v>
      </c>
      <c r="I31" s="4" t="b">
        <v>0</v>
      </c>
    </row>
    <row r="32" spans="1:9" ht="28" x14ac:dyDescent="0.25">
      <c r="A32" s="4" t="s">
        <v>398</v>
      </c>
      <c r="B32" s="4" t="s">
        <v>362</v>
      </c>
      <c r="C32" s="4" t="s">
        <v>129</v>
      </c>
      <c r="D32" s="4" t="s">
        <v>106</v>
      </c>
      <c r="E32" s="4" t="s">
        <v>281</v>
      </c>
      <c r="F32" s="4" t="s">
        <v>286</v>
      </c>
      <c r="G32" s="5">
        <v>200</v>
      </c>
      <c r="H32" s="5">
        <v>150</v>
      </c>
      <c r="I32" s="4" t="b">
        <v>1</v>
      </c>
    </row>
    <row r="33" spans="1:9" x14ac:dyDescent="0.25">
      <c r="A33" s="4" t="s">
        <v>399</v>
      </c>
      <c r="B33" s="4" t="s">
        <v>362</v>
      </c>
      <c r="C33" s="4" t="s">
        <v>129</v>
      </c>
      <c r="D33" s="4" t="s">
        <v>110</v>
      </c>
      <c r="E33" s="4" t="s">
        <v>30</v>
      </c>
      <c r="F33" s="4" t="s">
        <v>30</v>
      </c>
      <c r="G33" s="5">
        <v>25</v>
      </c>
      <c r="H33" s="5">
        <v>25</v>
      </c>
      <c r="I33" s="4" t="b">
        <v>0</v>
      </c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6"/>
  <sheetViews>
    <sheetView workbookViewId="0">
      <pane ySplit="1" topLeftCell="A2" activePane="bottomLeft" state="frozen"/>
      <selection pane="bottomLeft" sqref="A1:XFD1"/>
    </sheetView>
  </sheetViews>
  <sheetFormatPr defaultRowHeight="14" x14ac:dyDescent="0.25"/>
  <cols>
    <col min="1" max="5" width="10" customWidth="1"/>
    <col min="6" max="9" width="20" customWidth="1"/>
    <col min="10" max="10" width="10" customWidth="1"/>
    <col min="11" max="11" width="21" customWidth="1"/>
    <col min="12" max="13" width="20" customWidth="1"/>
    <col min="14" max="14" width="10" customWidth="1"/>
  </cols>
  <sheetData>
    <row r="1" spans="1:14" s="20" customFormat="1" ht="28" x14ac:dyDescent="0.25">
      <c r="A1" s="19" t="s">
        <v>305</v>
      </c>
      <c r="B1" s="19" t="s">
        <v>306</v>
      </c>
      <c r="C1" s="19" t="s">
        <v>307</v>
      </c>
      <c r="D1" s="19" t="s">
        <v>308</v>
      </c>
      <c r="E1" s="19" t="s">
        <v>309</v>
      </c>
      <c r="F1" s="19" t="s">
        <v>431</v>
      </c>
      <c r="G1" s="19" t="s">
        <v>432</v>
      </c>
      <c r="H1" s="19" t="s">
        <v>433</v>
      </c>
      <c r="I1" s="19" t="s">
        <v>434</v>
      </c>
      <c r="J1" s="19" t="s">
        <v>435</v>
      </c>
      <c r="K1" s="19" t="s">
        <v>436</v>
      </c>
      <c r="L1" s="19" t="s">
        <v>437</v>
      </c>
      <c r="M1" s="19" t="s">
        <v>438</v>
      </c>
      <c r="N1" s="19" t="s">
        <v>439</v>
      </c>
    </row>
    <row r="2" spans="1:14" x14ac:dyDescent="0.25">
      <c r="A2" s="4" t="s">
        <v>191</v>
      </c>
      <c r="B2" s="4" t="s">
        <v>310</v>
      </c>
      <c r="C2" s="4">
        <v>25</v>
      </c>
      <c r="D2" s="4">
        <v>2</v>
      </c>
      <c r="E2" s="5">
        <v>0.5</v>
      </c>
      <c r="F2" s="5">
        <v>77588.580870203761</v>
      </c>
      <c r="G2" s="5">
        <v>2227.2896006787928</v>
      </c>
      <c r="H2" s="5">
        <v>55682.240016969823</v>
      </c>
      <c r="I2" s="5">
        <v>34.835425463557918</v>
      </c>
      <c r="J2" s="4">
        <v>35</v>
      </c>
      <c r="K2" s="5">
        <v>1.393417018542316</v>
      </c>
      <c r="L2" s="5">
        <v>4403341.2887828154</v>
      </c>
      <c r="M2" s="5">
        <v>56.75244010647738</v>
      </c>
      <c r="N2" s="4" t="s">
        <v>440</v>
      </c>
    </row>
    <row r="3" spans="1:14" x14ac:dyDescent="0.25">
      <c r="A3" s="4" t="s">
        <v>34</v>
      </c>
      <c r="B3" s="4" t="s">
        <v>310</v>
      </c>
      <c r="C3" s="4">
        <v>3</v>
      </c>
      <c r="D3" s="4">
        <v>2</v>
      </c>
      <c r="E3" s="5">
        <v>0.5</v>
      </c>
      <c r="F3" s="5">
        <v>6443.9140811455854</v>
      </c>
      <c r="G3" s="5">
        <v>2227.2896006787928</v>
      </c>
      <c r="H3" s="5">
        <v>6681.8688020363788</v>
      </c>
      <c r="I3" s="5">
        <v>2.8931639959086262</v>
      </c>
      <c r="J3" s="4">
        <v>3</v>
      </c>
      <c r="K3" s="5">
        <v>0.96438799863620861</v>
      </c>
      <c r="L3" s="5">
        <v>644391.40811455844</v>
      </c>
      <c r="M3" s="5">
        <v>100</v>
      </c>
      <c r="N3" s="4" t="s">
        <v>441</v>
      </c>
    </row>
    <row r="4" spans="1:14" x14ac:dyDescent="0.25">
      <c r="A4" s="4" t="s">
        <v>21</v>
      </c>
      <c r="B4" s="4" t="s">
        <v>311</v>
      </c>
      <c r="C4" s="4">
        <v>2</v>
      </c>
      <c r="D4" s="4">
        <v>2</v>
      </c>
      <c r="E4" s="5">
        <v>0.5</v>
      </c>
      <c r="F4" s="5">
        <v>6177.406523468575</v>
      </c>
      <c r="G4" s="5">
        <v>2227.2896006787928</v>
      </c>
      <c r="H4" s="5">
        <v>4454.5792013575856</v>
      </c>
      <c r="I4" s="5">
        <v>2.773508447929689</v>
      </c>
      <c r="J4" s="4">
        <v>3</v>
      </c>
      <c r="K4" s="5">
        <v>1.386754223964844</v>
      </c>
      <c r="L4" s="5">
        <v>1116945.107398568</v>
      </c>
      <c r="M4" s="5">
        <v>180.81133290405671</v>
      </c>
      <c r="N4" s="4" t="s">
        <v>440</v>
      </c>
    </row>
    <row r="5" spans="1:14" x14ac:dyDescent="0.25">
      <c r="A5" s="4" t="s">
        <v>24</v>
      </c>
      <c r="B5" s="4" t="s">
        <v>311</v>
      </c>
      <c r="C5" s="4">
        <v>4</v>
      </c>
      <c r="D5" s="4">
        <v>2</v>
      </c>
      <c r="E5" s="5">
        <v>0.45</v>
      </c>
      <c r="F5" s="5">
        <v>7764.5186953062839</v>
      </c>
      <c r="G5" s="5">
        <v>2004.5606406109141</v>
      </c>
      <c r="H5" s="5">
        <v>8018.2425624436546</v>
      </c>
      <c r="I5" s="5">
        <v>3.8734266941108619</v>
      </c>
      <c r="J5" s="4">
        <v>4</v>
      </c>
      <c r="K5" s="5">
        <v>0.96835667352771559</v>
      </c>
      <c r="L5" s="5">
        <v>1434367.5417661101</v>
      </c>
      <c r="M5" s="5">
        <v>184.73360655737699</v>
      </c>
      <c r="N5" s="4" t="s">
        <v>441</v>
      </c>
    </row>
    <row r="6" spans="1:14" x14ac:dyDescent="0.25">
      <c r="A6" s="4" t="s">
        <v>22</v>
      </c>
      <c r="B6" s="4" t="s">
        <v>312</v>
      </c>
      <c r="C6" s="4">
        <v>20</v>
      </c>
      <c r="D6" s="4">
        <v>2</v>
      </c>
      <c r="E6" s="5">
        <v>0.4</v>
      </c>
      <c r="F6" s="5">
        <v>14959.08625980225</v>
      </c>
      <c r="G6" s="5">
        <v>1781.8316805430341</v>
      </c>
      <c r="H6" s="5">
        <v>35636.633610860677</v>
      </c>
      <c r="I6" s="5">
        <v>8.3953419524134247</v>
      </c>
      <c r="J6" s="4">
        <v>9</v>
      </c>
      <c r="K6" s="5">
        <v>0.41976709762067121</v>
      </c>
      <c r="L6" s="5">
        <v>1188544.1527446299</v>
      </c>
      <c r="M6" s="5">
        <v>79.452991452991455</v>
      </c>
      <c r="N6" s="4" t="s">
        <v>441</v>
      </c>
    </row>
    <row r="7" spans="1:14" x14ac:dyDescent="0.25">
      <c r="A7" s="4" t="s">
        <v>23</v>
      </c>
      <c r="B7" s="4" t="s">
        <v>313</v>
      </c>
      <c r="C7" s="4">
        <v>8</v>
      </c>
      <c r="D7" s="4">
        <v>1</v>
      </c>
      <c r="E7" s="5">
        <v>0.4</v>
      </c>
      <c r="F7" s="5">
        <v>9069.2124105011935</v>
      </c>
      <c r="G7" s="5">
        <v>1781.8316805430341</v>
      </c>
      <c r="H7" s="5">
        <v>14254.653444344271</v>
      </c>
      <c r="I7" s="5">
        <v>5.0898255483577683</v>
      </c>
      <c r="J7" s="4">
        <v>6</v>
      </c>
      <c r="K7" s="5">
        <v>0.63622819354472104</v>
      </c>
      <c r="L7" s="5">
        <v>226730.31026252979</v>
      </c>
      <c r="M7" s="5">
        <v>25</v>
      </c>
      <c r="N7" s="4" t="s">
        <v>441</v>
      </c>
    </row>
    <row r="8" spans="1:14" x14ac:dyDescent="0.25">
      <c r="A8" s="4" t="s">
        <v>25</v>
      </c>
      <c r="B8" s="4" t="s">
        <v>314</v>
      </c>
      <c r="C8" s="4">
        <v>2</v>
      </c>
      <c r="D8" s="4">
        <v>1</v>
      </c>
      <c r="E8" s="5">
        <v>0.4</v>
      </c>
      <c r="F8" s="5">
        <v>0</v>
      </c>
      <c r="G8" s="5">
        <v>1781.8316805430341</v>
      </c>
      <c r="H8" s="5">
        <v>3563.663361086069</v>
      </c>
      <c r="I8" s="5">
        <v>0</v>
      </c>
      <c r="J8" s="4">
        <v>0</v>
      </c>
      <c r="K8" s="5">
        <v>0</v>
      </c>
      <c r="L8" s="5">
        <v>0</v>
      </c>
      <c r="M8" s="5">
        <v>0</v>
      </c>
      <c r="N8" s="4" t="s">
        <v>441</v>
      </c>
    </row>
    <row r="9" spans="1:14" x14ac:dyDescent="0.25">
      <c r="A9" s="4" t="s">
        <v>26</v>
      </c>
      <c r="B9" s="4" t="s">
        <v>315</v>
      </c>
      <c r="C9" s="4">
        <v>2</v>
      </c>
      <c r="D9" s="4">
        <v>1</v>
      </c>
      <c r="E9" s="5">
        <v>0.35</v>
      </c>
      <c r="F9" s="5">
        <v>7613.3651551312632</v>
      </c>
      <c r="G9" s="5">
        <v>1559.1027204751549</v>
      </c>
      <c r="H9" s="5">
        <v>3118.2054409503098</v>
      </c>
      <c r="I9" s="5">
        <v>4.8831709772214369</v>
      </c>
      <c r="J9" s="4">
        <v>5</v>
      </c>
      <c r="K9" s="5">
        <v>2.441585488610718</v>
      </c>
      <c r="L9" s="5">
        <v>761336.51551312639</v>
      </c>
      <c r="M9" s="5">
        <v>100</v>
      </c>
      <c r="N9" s="4" t="s">
        <v>440</v>
      </c>
    </row>
    <row r="10" spans="1:14" x14ac:dyDescent="0.25">
      <c r="A10" s="4" t="s">
        <v>27</v>
      </c>
      <c r="B10" s="4" t="s">
        <v>315</v>
      </c>
      <c r="C10" s="4">
        <v>4</v>
      </c>
      <c r="D10" s="4">
        <v>1</v>
      </c>
      <c r="E10" s="5">
        <v>0.4</v>
      </c>
      <c r="F10" s="5">
        <v>7112.1718377088291</v>
      </c>
      <c r="G10" s="5">
        <v>1781.8316805430341</v>
      </c>
      <c r="H10" s="5">
        <v>7127.3267221721371</v>
      </c>
      <c r="I10" s="5">
        <v>3.9914947721331959</v>
      </c>
      <c r="J10" s="4">
        <v>4</v>
      </c>
      <c r="K10" s="5">
        <v>0.99787369303329909</v>
      </c>
      <c r="L10" s="5">
        <v>355608.59188544151</v>
      </c>
      <c r="M10" s="5">
        <v>50.000000000000007</v>
      </c>
      <c r="N10" s="4" t="s">
        <v>441</v>
      </c>
    </row>
    <row r="11" spans="1:14" x14ac:dyDescent="0.25">
      <c r="A11" s="4" t="s">
        <v>28</v>
      </c>
      <c r="B11" s="4" t="s">
        <v>316</v>
      </c>
      <c r="C11" s="4">
        <v>12</v>
      </c>
      <c r="D11" s="4">
        <v>1</v>
      </c>
      <c r="E11" s="5">
        <v>0.4</v>
      </c>
      <c r="F11" s="5">
        <v>52466.189339697681</v>
      </c>
      <c r="G11" s="5">
        <v>1781.8316805430341</v>
      </c>
      <c r="H11" s="5">
        <v>21381.980166516409</v>
      </c>
      <c r="I11" s="5">
        <v>29.44508727317498</v>
      </c>
      <c r="J11" s="4">
        <v>30</v>
      </c>
      <c r="K11" s="5">
        <v>2.453757272764582</v>
      </c>
      <c r="L11" s="5">
        <v>1658711.2171837711</v>
      </c>
      <c r="M11" s="5">
        <v>31.614859742228958</v>
      </c>
      <c r="N11" s="4" t="s">
        <v>440</v>
      </c>
    </row>
    <row r="12" spans="1:14" x14ac:dyDescent="0.25">
      <c r="A12" s="4" t="s">
        <v>29</v>
      </c>
      <c r="B12" s="4" t="s">
        <v>312</v>
      </c>
      <c r="C12" s="4">
        <v>19</v>
      </c>
      <c r="D12" s="4">
        <v>1</v>
      </c>
      <c r="E12" s="5">
        <v>0.4</v>
      </c>
      <c r="F12" s="5">
        <v>0</v>
      </c>
      <c r="G12" s="5">
        <v>1781.8316805430341</v>
      </c>
      <c r="H12" s="5">
        <v>33854.801930317648</v>
      </c>
      <c r="I12" s="5">
        <v>0</v>
      </c>
      <c r="J12" s="4">
        <v>0</v>
      </c>
      <c r="K12" s="5">
        <v>0</v>
      </c>
      <c r="L12" s="5">
        <v>0</v>
      </c>
      <c r="M12" s="5">
        <v>0</v>
      </c>
      <c r="N12" s="4" t="s">
        <v>441</v>
      </c>
    </row>
    <row r="13" spans="1:14" x14ac:dyDescent="0.25">
      <c r="A13" s="4" t="s">
        <v>30</v>
      </c>
      <c r="B13" s="4" t="s">
        <v>316</v>
      </c>
      <c r="C13" s="4">
        <v>15</v>
      </c>
      <c r="D13" s="4">
        <v>1</v>
      </c>
      <c r="E13" s="5">
        <v>0.4</v>
      </c>
      <c r="F13" s="5">
        <v>29389.70337538356</v>
      </c>
      <c r="G13" s="5">
        <v>1781.8316805430341</v>
      </c>
      <c r="H13" s="5">
        <v>26727.475208145519</v>
      </c>
      <c r="I13" s="5">
        <v>16.494096325881181</v>
      </c>
      <c r="J13" s="4">
        <v>17</v>
      </c>
      <c r="K13" s="5">
        <v>1.099606421725412</v>
      </c>
      <c r="L13" s="5">
        <v>797136.03818615747</v>
      </c>
      <c r="M13" s="5">
        <v>27.122969837587011</v>
      </c>
      <c r="N13" s="4" t="s">
        <v>440</v>
      </c>
    </row>
    <row r="14" spans="1:14" x14ac:dyDescent="0.25">
      <c r="A14" s="4" t="s">
        <v>31</v>
      </c>
      <c r="B14" s="4" t="s">
        <v>317</v>
      </c>
      <c r="C14" s="4">
        <v>2</v>
      </c>
      <c r="D14" s="4">
        <v>1</v>
      </c>
      <c r="E14" s="5">
        <v>0.4</v>
      </c>
      <c r="F14" s="5">
        <v>1431.9809069212411</v>
      </c>
      <c r="G14" s="5">
        <v>1781.8316805430341</v>
      </c>
      <c r="H14" s="5">
        <v>3563.663361086069</v>
      </c>
      <c r="I14" s="5">
        <v>0.8036566655301739</v>
      </c>
      <c r="J14" s="4">
        <v>1</v>
      </c>
      <c r="K14" s="5">
        <v>0.40182833276508689</v>
      </c>
      <c r="L14" s="5">
        <v>214797.13603818609</v>
      </c>
      <c r="M14" s="5">
        <v>150</v>
      </c>
      <c r="N14" s="4" t="s">
        <v>441</v>
      </c>
    </row>
    <row r="15" spans="1:14" x14ac:dyDescent="0.25">
      <c r="A15" s="4" t="s">
        <v>32</v>
      </c>
      <c r="B15" s="4" t="s">
        <v>318</v>
      </c>
      <c r="C15" s="4">
        <v>10</v>
      </c>
      <c r="D15" s="4">
        <v>1</v>
      </c>
      <c r="E15" s="5">
        <v>0.4</v>
      </c>
      <c r="F15" s="5">
        <v>35032.39004432322</v>
      </c>
      <c r="G15" s="5">
        <v>1781.8316805430341</v>
      </c>
      <c r="H15" s="5">
        <v>17818.316805430339</v>
      </c>
      <c r="I15" s="5">
        <v>19.66088628172033</v>
      </c>
      <c r="J15" s="4">
        <v>20</v>
      </c>
      <c r="K15" s="5">
        <v>1.9660886281720329</v>
      </c>
      <c r="L15" s="5">
        <v>1224343.675417661</v>
      </c>
      <c r="M15" s="5">
        <v>34.948905109489047</v>
      </c>
      <c r="N15" s="4" t="s">
        <v>440</v>
      </c>
    </row>
    <row r="16" spans="1:14" x14ac:dyDescent="0.25">
      <c r="A16" s="4" t="s">
        <v>33</v>
      </c>
      <c r="B16" s="4"/>
      <c r="C16" s="4">
        <v>2</v>
      </c>
      <c r="D16" s="4">
        <v>1</v>
      </c>
      <c r="E16" s="5">
        <v>0.4</v>
      </c>
      <c r="F16" s="5">
        <v>3068.53051483123</v>
      </c>
      <c r="G16" s="5">
        <v>1781.8316805430341</v>
      </c>
      <c r="H16" s="5">
        <v>3563.663361086069</v>
      </c>
      <c r="I16" s="5">
        <v>1.7221214261360871</v>
      </c>
      <c r="J16" s="4">
        <v>2</v>
      </c>
      <c r="K16" s="5">
        <v>0.86106071306804344</v>
      </c>
      <c r="L16" s="5">
        <v>42959.427207637229</v>
      </c>
      <c r="M16" s="5">
        <v>14</v>
      </c>
      <c r="N16" s="4" t="s">
        <v>441</v>
      </c>
    </row>
  </sheetData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8" width="10" customWidth="1"/>
  </cols>
  <sheetData>
    <row r="1" spans="1:8" ht="28" x14ac:dyDescent="0.25">
      <c r="A1" s="3" t="s">
        <v>504</v>
      </c>
      <c r="B1" s="3" t="s">
        <v>505</v>
      </c>
      <c r="C1" s="3" t="s">
        <v>506</v>
      </c>
      <c r="D1" s="3" t="s">
        <v>507</v>
      </c>
      <c r="E1" s="3" t="s">
        <v>508</v>
      </c>
      <c r="F1" s="3" t="s">
        <v>509</v>
      </c>
      <c r="G1" s="3" t="s">
        <v>510</v>
      </c>
      <c r="H1" s="3" t="s">
        <v>511</v>
      </c>
    </row>
    <row r="2" spans="1:8" x14ac:dyDescent="0.25">
      <c r="A2" s="4">
        <v>32</v>
      </c>
      <c r="B2" s="4">
        <v>53</v>
      </c>
      <c r="C2" s="4">
        <v>53</v>
      </c>
      <c r="D2" s="4">
        <v>1</v>
      </c>
      <c r="E2" s="4">
        <v>48</v>
      </c>
      <c r="F2" s="4">
        <v>15</v>
      </c>
      <c r="G2" s="5">
        <v>1.6927000000000001</v>
      </c>
      <c r="H2" s="4"/>
    </row>
  </sheetData>
  <phoneticPr fontId="4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0" customWidth="1"/>
    <col min="2" max="3" width="20" customWidth="1"/>
    <col min="4" max="4" width="10" customWidth="1"/>
    <col min="5" max="5" width="21" customWidth="1"/>
    <col min="6" max="6" width="20" customWidth="1"/>
  </cols>
  <sheetData>
    <row r="1" spans="1:6" x14ac:dyDescent="0.25">
      <c r="A1" s="3" t="s">
        <v>512</v>
      </c>
      <c r="B1" s="3" t="s">
        <v>421</v>
      </c>
      <c r="C1" s="3" t="s">
        <v>422</v>
      </c>
      <c r="D1" s="3" t="s">
        <v>37</v>
      </c>
      <c r="E1" s="3" t="s">
        <v>423</v>
      </c>
      <c r="F1" s="3" t="s">
        <v>513</v>
      </c>
    </row>
    <row r="2" spans="1:6" x14ac:dyDescent="0.25">
      <c r="A2" s="4" t="s">
        <v>514</v>
      </c>
      <c r="B2" s="5">
        <v>77588.580870203761</v>
      </c>
      <c r="C2" s="5">
        <v>55682.240016969823</v>
      </c>
      <c r="D2" s="4" t="s">
        <v>515</v>
      </c>
      <c r="E2" s="5">
        <v>1.393417018542316</v>
      </c>
      <c r="F2" s="5">
        <v>21906.340853233942</v>
      </c>
    </row>
    <row r="3" spans="1:6" x14ac:dyDescent="0.25">
      <c r="A3" s="4" t="s">
        <v>516</v>
      </c>
      <c r="B3" s="5">
        <v>6443.9140811455854</v>
      </c>
      <c r="C3" s="5">
        <v>6681.8688020363788</v>
      </c>
      <c r="D3" s="4" t="s">
        <v>515</v>
      </c>
      <c r="E3" s="5">
        <v>0.96438799863620861</v>
      </c>
      <c r="F3" s="5">
        <v>0</v>
      </c>
    </row>
    <row r="4" spans="1:6" ht="28" x14ac:dyDescent="0.25">
      <c r="A4" s="4" t="s">
        <v>517</v>
      </c>
      <c r="B4" s="5">
        <v>6177.406523468575</v>
      </c>
      <c r="C4" s="5">
        <v>4454.5792013575856</v>
      </c>
      <c r="D4" s="4" t="s">
        <v>515</v>
      </c>
      <c r="E4" s="5">
        <v>1.386754223964844</v>
      </c>
      <c r="F4" s="5">
        <v>1722.8273221109889</v>
      </c>
    </row>
    <row r="5" spans="1:6" x14ac:dyDescent="0.25">
      <c r="A5" s="4" t="s">
        <v>518</v>
      </c>
      <c r="B5" s="5">
        <v>7764.5186953062839</v>
      </c>
      <c r="C5" s="5">
        <v>8018.2425624436546</v>
      </c>
      <c r="D5" s="4" t="s">
        <v>515</v>
      </c>
      <c r="E5" s="5">
        <v>0.96835667352771559</v>
      </c>
      <c r="F5" s="5">
        <v>0</v>
      </c>
    </row>
    <row r="6" spans="1:6" x14ac:dyDescent="0.25">
      <c r="A6" s="4" t="s">
        <v>519</v>
      </c>
      <c r="B6" s="5">
        <v>14959.08625980225</v>
      </c>
      <c r="C6" s="5">
        <v>35636.633610860677</v>
      </c>
      <c r="D6" s="4" t="s">
        <v>515</v>
      </c>
      <c r="E6" s="5">
        <v>0.41976709762067121</v>
      </c>
      <c r="F6" s="5">
        <v>0</v>
      </c>
    </row>
    <row r="7" spans="1:6" x14ac:dyDescent="0.25">
      <c r="A7" s="4" t="s">
        <v>520</v>
      </c>
      <c r="B7" s="5">
        <v>9069.2124105011935</v>
      </c>
      <c r="C7" s="5">
        <v>14254.653444344271</v>
      </c>
      <c r="D7" s="4" t="s">
        <v>515</v>
      </c>
      <c r="E7" s="5">
        <v>0.63622819354472104</v>
      </c>
      <c r="F7" s="5">
        <v>0</v>
      </c>
    </row>
    <row r="8" spans="1:6" ht="28" x14ac:dyDescent="0.25">
      <c r="A8" s="4" t="s">
        <v>521</v>
      </c>
      <c r="B8" s="5">
        <v>0</v>
      </c>
      <c r="C8" s="5">
        <v>3563.663361086069</v>
      </c>
      <c r="D8" s="4" t="s">
        <v>515</v>
      </c>
      <c r="E8" s="5">
        <v>0</v>
      </c>
      <c r="F8" s="5">
        <v>0</v>
      </c>
    </row>
    <row r="9" spans="1:6" ht="28" x14ac:dyDescent="0.25">
      <c r="A9" s="4" t="s">
        <v>522</v>
      </c>
      <c r="B9" s="5">
        <v>7613.3651551312632</v>
      </c>
      <c r="C9" s="5">
        <v>3118.2054409503098</v>
      </c>
      <c r="D9" s="4" t="s">
        <v>515</v>
      </c>
      <c r="E9" s="5">
        <v>2.441585488610718</v>
      </c>
      <c r="F9" s="5">
        <v>4495.1597141809534</v>
      </c>
    </row>
    <row r="10" spans="1:6" ht="28" x14ac:dyDescent="0.25">
      <c r="A10" s="4" t="s">
        <v>523</v>
      </c>
      <c r="B10" s="5">
        <v>7112.1718377088291</v>
      </c>
      <c r="C10" s="5">
        <v>7127.3267221721371</v>
      </c>
      <c r="D10" s="4" t="s">
        <v>515</v>
      </c>
      <c r="E10" s="5">
        <v>0.99787369303329909</v>
      </c>
      <c r="F10" s="5">
        <v>0</v>
      </c>
    </row>
    <row r="11" spans="1:6" ht="28" x14ac:dyDescent="0.25">
      <c r="A11" s="4" t="s">
        <v>524</v>
      </c>
      <c r="B11" s="5">
        <v>52466.189339697681</v>
      </c>
      <c r="C11" s="5">
        <v>21381.980166516409</v>
      </c>
      <c r="D11" s="4" t="s">
        <v>515</v>
      </c>
      <c r="E11" s="5">
        <v>2.453757272764582</v>
      </c>
      <c r="F11" s="5">
        <v>31084.209173181269</v>
      </c>
    </row>
    <row r="12" spans="1:6" ht="28" x14ac:dyDescent="0.25">
      <c r="A12" s="4" t="s">
        <v>525</v>
      </c>
      <c r="B12" s="5">
        <v>0</v>
      </c>
      <c r="C12" s="5">
        <v>33854.801930317648</v>
      </c>
      <c r="D12" s="4" t="s">
        <v>515</v>
      </c>
      <c r="E12" s="5">
        <v>0</v>
      </c>
      <c r="F12" s="5">
        <v>0</v>
      </c>
    </row>
    <row r="13" spans="1:6" ht="28" x14ac:dyDescent="0.25">
      <c r="A13" s="4" t="s">
        <v>526</v>
      </c>
      <c r="B13" s="5">
        <v>29389.70337538356</v>
      </c>
      <c r="C13" s="5">
        <v>26727.475208145519</v>
      </c>
      <c r="D13" s="4" t="s">
        <v>515</v>
      </c>
      <c r="E13" s="5">
        <v>1.099606421725412</v>
      </c>
      <c r="F13" s="5">
        <v>2662.228167238045</v>
      </c>
    </row>
    <row r="14" spans="1:6" ht="28" x14ac:dyDescent="0.25">
      <c r="A14" s="4" t="s">
        <v>527</v>
      </c>
      <c r="B14" s="5">
        <v>1431.9809069212411</v>
      </c>
      <c r="C14" s="5">
        <v>3563.663361086069</v>
      </c>
      <c r="D14" s="4" t="s">
        <v>515</v>
      </c>
      <c r="E14" s="5">
        <v>0.40182833276508689</v>
      </c>
      <c r="F14" s="5">
        <v>0</v>
      </c>
    </row>
    <row r="15" spans="1:6" x14ac:dyDescent="0.25">
      <c r="A15" s="4" t="s">
        <v>528</v>
      </c>
      <c r="B15" s="5">
        <v>35032.39004432322</v>
      </c>
      <c r="C15" s="5">
        <v>17818.316805430339</v>
      </c>
      <c r="D15" s="4" t="s">
        <v>515</v>
      </c>
      <c r="E15" s="5">
        <v>1.9660886281720329</v>
      </c>
      <c r="F15" s="5">
        <v>17214.073238892881</v>
      </c>
    </row>
    <row r="16" spans="1:6" ht="28" x14ac:dyDescent="0.25">
      <c r="A16" s="4" t="s">
        <v>529</v>
      </c>
      <c r="B16" s="5">
        <v>3068.53051483123</v>
      </c>
      <c r="C16" s="5">
        <v>3563.663361086069</v>
      </c>
      <c r="D16" s="4" t="s">
        <v>515</v>
      </c>
      <c r="E16" s="5">
        <v>0.86106071306804344</v>
      </c>
      <c r="F16" s="5">
        <v>0</v>
      </c>
    </row>
    <row r="17" spans="1:6" x14ac:dyDescent="0.25">
      <c r="A17" s="4" t="s">
        <v>424</v>
      </c>
      <c r="B17" s="5">
        <v>5000000</v>
      </c>
      <c r="C17" s="5">
        <v>4997636.503321765</v>
      </c>
      <c r="D17" s="4" t="s">
        <v>530</v>
      </c>
      <c r="E17" s="5">
        <v>1.000472922885981</v>
      </c>
      <c r="F17" s="5">
        <v>2363.4966782350089</v>
      </c>
    </row>
    <row r="18" spans="1:6" x14ac:dyDescent="0.25">
      <c r="A18" s="4" t="s">
        <v>531</v>
      </c>
      <c r="B18" s="5">
        <v>868735.08353221952</v>
      </c>
      <c r="C18" s="5">
        <v>560174.99999999988</v>
      </c>
      <c r="D18" s="4" t="s">
        <v>530</v>
      </c>
      <c r="E18" s="5">
        <v>1.5508280154098619</v>
      </c>
      <c r="F18" s="5">
        <v>308560.08353221958</v>
      </c>
    </row>
    <row r="19" spans="1:6" ht="28" x14ac:dyDescent="0.25">
      <c r="A19" s="4" t="s">
        <v>532</v>
      </c>
      <c r="B19" s="5">
        <v>2575178.9976133648</v>
      </c>
      <c r="C19" s="5">
        <v>1470000</v>
      </c>
      <c r="D19" s="4" t="s">
        <v>530</v>
      </c>
      <c r="E19" s="5">
        <v>1.75182244735603</v>
      </c>
      <c r="F19" s="5">
        <v>1105178.9976133651</v>
      </c>
    </row>
    <row r="20" spans="1:6" ht="28" x14ac:dyDescent="0.25">
      <c r="A20" s="4" t="s">
        <v>533</v>
      </c>
      <c r="B20" s="5">
        <v>735083.53221957036</v>
      </c>
      <c r="C20" s="5">
        <v>2450000</v>
      </c>
      <c r="D20" s="4" t="s">
        <v>530</v>
      </c>
      <c r="E20" s="5">
        <v>0.30003409478349807</v>
      </c>
      <c r="F20" s="5">
        <v>0</v>
      </c>
    </row>
    <row r="21" spans="1:6" x14ac:dyDescent="0.25">
      <c r="A21" s="4" t="s">
        <v>429</v>
      </c>
      <c r="B21" s="5">
        <v>1054195.3193981829</v>
      </c>
      <c r="C21" s="5">
        <v>7140000</v>
      </c>
      <c r="D21" s="4" t="s">
        <v>534</v>
      </c>
      <c r="E21" s="5">
        <v>0.1476464032770565</v>
      </c>
      <c r="F21" s="5">
        <v>0</v>
      </c>
    </row>
  </sheetData>
  <phoneticPr fontId="4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3" customWidth="1"/>
    <col min="2" max="2" width="16" customWidth="1"/>
    <col min="3" max="3" width="15" customWidth="1"/>
    <col min="4" max="4" width="17" customWidth="1"/>
    <col min="5" max="5" width="32" customWidth="1"/>
    <col min="6" max="6" width="20" customWidth="1"/>
    <col min="7" max="7" width="32" customWidth="1"/>
    <col min="8" max="8" width="29" customWidth="1"/>
    <col min="9" max="9" width="10" customWidth="1"/>
    <col min="10" max="10" width="32" customWidth="1"/>
  </cols>
  <sheetData>
    <row r="1" spans="1:10" ht="28" x14ac:dyDescent="0.25">
      <c r="A1" s="3" t="s">
        <v>535</v>
      </c>
      <c r="B1" s="3" t="s">
        <v>536</v>
      </c>
      <c r="C1" s="3" t="s">
        <v>537</v>
      </c>
      <c r="D1" s="3" t="s">
        <v>538</v>
      </c>
      <c r="E1" s="3" t="s">
        <v>539</v>
      </c>
      <c r="F1" s="3" t="s">
        <v>540</v>
      </c>
      <c r="G1" s="3" t="s">
        <v>541</v>
      </c>
      <c r="H1" s="3" t="s">
        <v>542</v>
      </c>
      <c r="I1" s="3" t="s">
        <v>543</v>
      </c>
      <c r="J1" s="3" t="s">
        <v>544</v>
      </c>
    </row>
    <row r="2" spans="1:10" ht="70" x14ac:dyDescent="0.25">
      <c r="A2" s="4" t="s">
        <v>545</v>
      </c>
      <c r="B2" s="4" t="s">
        <v>546</v>
      </c>
      <c r="C2" s="4" t="s">
        <v>547</v>
      </c>
      <c r="D2" s="4" t="s">
        <v>548</v>
      </c>
      <c r="E2" s="4" t="s">
        <v>549</v>
      </c>
      <c r="F2" s="4" t="s">
        <v>550</v>
      </c>
      <c r="G2" s="4" t="s">
        <v>550</v>
      </c>
      <c r="H2" s="4" t="s">
        <v>551</v>
      </c>
      <c r="I2" s="5"/>
      <c r="J2" s="4" t="s">
        <v>552</v>
      </c>
    </row>
  </sheetData>
  <phoneticPr fontId="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7" customWidth="1"/>
    <col min="2" max="3" width="15" customWidth="1"/>
    <col min="4" max="6" width="20" customWidth="1"/>
    <col min="7" max="7" width="10" customWidth="1"/>
    <col min="8" max="8" width="22" customWidth="1"/>
    <col min="9" max="9" width="23" customWidth="1"/>
    <col min="10" max="10" width="20" customWidth="1"/>
    <col min="11" max="11" width="32" customWidth="1"/>
  </cols>
  <sheetData>
    <row r="1" spans="1:11" ht="28" x14ac:dyDescent="0.25">
      <c r="A1" s="3" t="s">
        <v>553</v>
      </c>
      <c r="B1" s="3" t="s">
        <v>554</v>
      </c>
      <c r="C1" s="3" t="s">
        <v>555</v>
      </c>
      <c r="D1" s="3" t="s">
        <v>556</v>
      </c>
      <c r="E1" s="3" t="s">
        <v>557</v>
      </c>
      <c r="F1" s="3" t="s">
        <v>558</v>
      </c>
      <c r="G1" s="3" t="s">
        <v>559</v>
      </c>
      <c r="H1" s="3" t="s">
        <v>560</v>
      </c>
      <c r="I1" s="3" t="s">
        <v>561</v>
      </c>
      <c r="J1" s="3" t="s">
        <v>562</v>
      </c>
      <c r="K1" s="3" t="s">
        <v>563</v>
      </c>
    </row>
    <row r="2" spans="1:11" x14ac:dyDescent="0.25">
      <c r="A2" s="4" t="s">
        <v>564</v>
      </c>
      <c r="B2" s="4" t="s">
        <v>565</v>
      </c>
      <c r="C2" s="4" t="s">
        <v>28</v>
      </c>
      <c r="D2" s="5">
        <v>52466.189339697681</v>
      </c>
      <c r="E2" s="5">
        <v>21381.980166516409</v>
      </c>
      <c r="F2" s="5">
        <v>53454.950416291023</v>
      </c>
      <c r="G2" s="4" t="s">
        <v>515</v>
      </c>
      <c r="H2" s="5">
        <v>2.453757272764582</v>
      </c>
      <c r="I2" s="5">
        <v>0.98150290910583282</v>
      </c>
      <c r="J2" s="5">
        <v>31084.209173181269</v>
      </c>
      <c r="K2" s="5">
        <v>0</v>
      </c>
    </row>
    <row r="3" spans="1:11" x14ac:dyDescent="0.25">
      <c r="A3" s="4" t="s">
        <v>566</v>
      </c>
      <c r="B3" s="4" t="s">
        <v>565</v>
      </c>
      <c r="C3" s="4" t="s">
        <v>32</v>
      </c>
      <c r="D3" s="5">
        <v>35032.39004432322</v>
      </c>
      <c r="E3" s="5">
        <v>17818.316805430339</v>
      </c>
      <c r="F3" s="5">
        <v>35636.633610860677</v>
      </c>
      <c r="G3" s="4" t="s">
        <v>515</v>
      </c>
      <c r="H3" s="5">
        <v>1.9660886281720329</v>
      </c>
      <c r="I3" s="5">
        <v>0.98304431408601645</v>
      </c>
      <c r="J3" s="5">
        <v>17214.073238892881</v>
      </c>
      <c r="K3" s="5">
        <v>0</v>
      </c>
    </row>
    <row r="4" spans="1:11" x14ac:dyDescent="0.25">
      <c r="A4" s="4" t="s">
        <v>567</v>
      </c>
      <c r="B4" s="4" t="s">
        <v>565</v>
      </c>
      <c r="C4" s="4" t="s">
        <v>27</v>
      </c>
      <c r="D4" s="5">
        <v>13985.68019093078</v>
      </c>
      <c r="E4" s="5">
        <v>7127.3267221721371</v>
      </c>
      <c r="F4" s="5">
        <v>14254.653444344271</v>
      </c>
      <c r="G4" s="4" t="s">
        <v>515</v>
      </c>
      <c r="H4" s="5">
        <v>1.9622616916695079</v>
      </c>
      <c r="I4" s="5">
        <v>0.98113084583475396</v>
      </c>
      <c r="J4" s="5">
        <v>6858.353468758648</v>
      </c>
      <c r="K4" s="5">
        <v>0</v>
      </c>
    </row>
    <row r="5" spans="1:11" ht="28" x14ac:dyDescent="0.25">
      <c r="A5" s="4" t="s">
        <v>568</v>
      </c>
      <c r="B5" s="4" t="s">
        <v>569</v>
      </c>
      <c r="C5" s="4" t="s">
        <v>51</v>
      </c>
      <c r="D5" s="5">
        <v>2575178.9976133648</v>
      </c>
      <c r="E5" s="5">
        <v>1470000</v>
      </c>
      <c r="F5" s="5">
        <v>1470000</v>
      </c>
      <c r="G5" s="4" t="s">
        <v>530</v>
      </c>
      <c r="H5" s="5">
        <v>1.75182244735603</v>
      </c>
      <c r="I5" s="5">
        <v>1.75182244735603</v>
      </c>
      <c r="J5" s="5">
        <v>1105178.9976133651</v>
      </c>
      <c r="K5" s="5">
        <v>1105178.9976133651</v>
      </c>
    </row>
    <row r="6" spans="1:11" x14ac:dyDescent="0.25">
      <c r="A6" s="4" t="s">
        <v>570</v>
      </c>
      <c r="B6" s="4" t="s">
        <v>569</v>
      </c>
      <c r="C6" s="4" t="s">
        <v>67</v>
      </c>
      <c r="D6" s="5">
        <v>868735.08353221952</v>
      </c>
      <c r="E6" s="5">
        <v>560174.99999999988</v>
      </c>
      <c r="F6" s="5">
        <v>560174.99999999988</v>
      </c>
      <c r="G6" s="4" t="s">
        <v>530</v>
      </c>
      <c r="H6" s="5">
        <v>1.5508280154098619</v>
      </c>
      <c r="I6" s="5">
        <v>1.5508280154098619</v>
      </c>
      <c r="J6" s="5">
        <v>308560.08353221958</v>
      </c>
      <c r="K6" s="5">
        <v>308560.08353221958</v>
      </c>
    </row>
    <row r="7" spans="1:11" x14ac:dyDescent="0.25">
      <c r="A7" s="4" t="s">
        <v>571</v>
      </c>
      <c r="B7" s="4" t="s">
        <v>565</v>
      </c>
      <c r="C7" s="4" t="s">
        <v>21</v>
      </c>
      <c r="D7" s="5">
        <v>6750.1988862370708</v>
      </c>
      <c r="E7" s="5">
        <v>4454.5792013575856</v>
      </c>
      <c r="F7" s="5">
        <v>8909.1584027151712</v>
      </c>
      <c r="G7" s="4" t="s">
        <v>515</v>
      </c>
      <c r="H7" s="5">
        <v>1.5153392904496721</v>
      </c>
      <c r="I7" s="5">
        <v>0.75766964522483604</v>
      </c>
      <c r="J7" s="5">
        <v>2295.6196848794848</v>
      </c>
      <c r="K7" s="5">
        <v>0</v>
      </c>
    </row>
    <row r="8" spans="1:11" x14ac:dyDescent="0.25">
      <c r="A8" s="4" t="s">
        <v>572</v>
      </c>
      <c r="B8" s="4" t="s">
        <v>565</v>
      </c>
      <c r="C8" s="4" t="s">
        <v>26</v>
      </c>
      <c r="D8" s="5">
        <v>4176.6109785202852</v>
      </c>
      <c r="E8" s="5">
        <v>3118.2054409503098</v>
      </c>
      <c r="F8" s="5">
        <v>4677.3081614254643</v>
      </c>
      <c r="G8" s="4" t="s">
        <v>515</v>
      </c>
      <c r="H8" s="5">
        <v>1.3394277758836231</v>
      </c>
      <c r="I8" s="5">
        <v>0.892951850589082</v>
      </c>
      <c r="J8" s="5">
        <v>1058.405537569975</v>
      </c>
      <c r="K8" s="5">
        <v>0</v>
      </c>
    </row>
    <row r="9" spans="1:11" x14ac:dyDescent="0.25">
      <c r="A9" s="4" t="s">
        <v>573</v>
      </c>
      <c r="B9" s="4" t="s">
        <v>565</v>
      </c>
      <c r="C9" s="4" t="s">
        <v>30</v>
      </c>
      <c r="D9" s="5">
        <v>29389.70337538356</v>
      </c>
      <c r="E9" s="5">
        <v>26727.475208145519</v>
      </c>
      <c r="F9" s="5">
        <v>30291.138569231589</v>
      </c>
      <c r="G9" s="4" t="s">
        <v>515</v>
      </c>
      <c r="H9" s="5">
        <v>1.099606421725412</v>
      </c>
      <c r="I9" s="5">
        <v>0.97024096034595197</v>
      </c>
      <c r="J9" s="5">
        <v>2662.2281672380491</v>
      </c>
      <c r="K9" s="5">
        <v>0</v>
      </c>
    </row>
    <row r="10" spans="1:11" x14ac:dyDescent="0.25">
      <c r="A10" s="4" t="s">
        <v>574</v>
      </c>
      <c r="B10" s="4" t="s">
        <v>565</v>
      </c>
      <c r="C10" s="4" t="s">
        <v>191</v>
      </c>
      <c r="D10" s="5">
        <v>60882.136956122617</v>
      </c>
      <c r="E10" s="5">
        <v>55682.240016969823</v>
      </c>
      <c r="F10" s="5">
        <v>62364.1088190062</v>
      </c>
      <c r="G10" s="4" t="s">
        <v>515</v>
      </c>
      <c r="H10" s="5">
        <v>1.0933851967443851</v>
      </c>
      <c r="I10" s="5">
        <v>0.9762367828074866</v>
      </c>
      <c r="J10" s="5">
        <v>5199.8969391527926</v>
      </c>
      <c r="K10" s="5">
        <v>0</v>
      </c>
    </row>
    <row r="11" spans="1:11" x14ac:dyDescent="0.25">
      <c r="A11" s="4" t="s">
        <v>575</v>
      </c>
      <c r="B11" s="4" t="s">
        <v>565</v>
      </c>
      <c r="C11" s="4" t="s">
        <v>22</v>
      </c>
      <c r="D11" s="5">
        <v>37234.344811910443</v>
      </c>
      <c r="E11" s="5">
        <v>35636.633610860677</v>
      </c>
      <c r="F11" s="5">
        <v>37418.465291403721</v>
      </c>
      <c r="G11" s="4" t="s">
        <v>515</v>
      </c>
      <c r="H11" s="5">
        <v>1.0448333930330289</v>
      </c>
      <c r="I11" s="5">
        <v>0.99507942193621779</v>
      </c>
      <c r="J11" s="5">
        <v>1597.7112010497581</v>
      </c>
      <c r="K11" s="5">
        <v>0</v>
      </c>
    </row>
    <row r="12" spans="1:11" x14ac:dyDescent="0.25">
      <c r="A12" s="4" t="s">
        <v>576</v>
      </c>
      <c r="B12" s="4" t="s">
        <v>565</v>
      </c>
      <c r="C12" s="4" t="s">
        <v>24</v>
      </c>
      <c r="D12" s="5">
        <v>7967.3826571201262</v>
      </c>
      <c r="E12" s="5">
        <v>8018.2425624436546</v>
      </c>
      <c r="F12" s="5">
        <v>8018.2425624436546</v>
      </c>
      <c r="G12" s="4" t="s">
        <v>515</v>
      </c>
      <c r="H12" s="5">
        <v>0.99365697596107283</v>
      </c>
      <c r="I12" s="5">
        <v>0.99365697596107283</v>
      </c>
      <c r="J12" s="5">
        <v>0</v>
      </c>
      <c r="K12" s="5">
        <v>0</v>
      </c>
    </row>
    <row r="13" spans="1:11" x14ac:dyDescent="0.25">
      <c r="A13" s="4" t="s">
        <v>577</v>
      </c>
      <c r="B13" s="4" t="s">
        <v>565</v>
      </c>
      <c r="C13" s="4" t="s">
        <v>34</v>
      </c>
      <c r="D13" s="5">
        <v>6443.9140811455854</v>
      </c>
      <c r="E13" s="5">
        <v>6681.8688020363788</v>
      </c>
      <c r="F13" s="5">
        <v>6681.8688020363788</v>
      </c>
      <c r="G13" s="4" t="s">
        <v>515</v>
      </c>
      <c r="H13" s="5">
        <v>0.96438799863620861</v>
      </c>
      <c r="I13" s="5">
        <v>0.96438799863620861</v>
      </c>
      <c r="J13" s="5">
        <v>0</v>
      </c>
      <c r="K13" s="5">
        <v>0</v>
      </c>
    </row>
    <row r="14" spans="1:11" x14ac:dyDescent="0.25">
      <c r="A14" s="4" t="s">
        <v>578</v>
      </c>
      <c r="B14" s="4" t="s">
        <v>565</v>
      </c>
      <c r="C14" s="4" t="s">
        <v>33</v>
      </c>
      <c r="D14" s="5">
        <v>3068.53051483123</v>
      </c>
      <c r="E14" s="5">
        <v>3563.663361086069</v>
      </c>
      <c r="F14" s="5">
        <v>3563.663361086069</v>
      </c>
      <c r="G14" s="4" t="s">
        <v>515</v>
      </c>
      <c r="H14" s="5">
        <v>0.86106071306804333</v>
      </c>
      <c r="I14" s="5">
        <v>0.86106071306804333</v>
      </c>
      <c r="J14" s="5">
        <v>0</v>
      </c>
      <c r="K14" s="5">
        <v>0</v>
      </c>
    </row>
    <row r="15" spans="1:11" x14ac:dyDescent="0.25">
      <c r="A15" s="4" t="s">
        <v>579</v>
      </c>
      <c r="B15" s="4" t="s">
        <v>565</v>
      </c>
      <c r="C15" s="4" t="s">
        <v>25</v>
      </c>
      <c r="D15" s="5">
        <v>2784.4073190135241</v>
      </c>
      <c r="E15" s="5">
        <v>3563.663361086069</v>
      </c>
      <c r="F15" s="5">
        <v>3563.663361086069</v>
      </c>
      <c r="G15" s="4" t="s">
        <v>515</v>
      </c>
      <c r="H15" s="5">
        <v>0.78133286926544665</v>
      </c>
      <c r="I15" s="5">
        <v>0.78133286926544665</v>
      </c>
      <c r="J15" s="5">
        <v>0</v>
      </c>
      <c r="K15" s="5">
        <v>0</v>
      </c>
    </row>
    <row r="16" spans="1:11" ht="28" x14ac:dyDescent="0.25">
      <c r="A16" s="4" t="s">
        <v>580</v>
      </c>
      <c r="B16" s="4" t="s">
        <v>581</v>
      </c>
      <c r="C16" s="4" t="s">
        <v>582</v>
      </c>
      <c r="D16" s="5">
        <v>81250.928864294008</v>
      </c>
      <c r="E16" s="5">
        <v>114240</v>
      </c>
      <c r="F16" s="5">
        <v>114240</v>
      </c>
      <c r="G16" s="4" t="s">
        <v>583</v>
      </c>
      <c r="H16" s="5">
        <v>0.71123011961041671</v>
      </c>
      <c r="I16" s="5">
        <v>0.71123011961041671</v>
      </c>
      <c r="J16" s="5">
        <v>0</v>
      </c>
      <c r="K16" s="5">
        <v>0</v>
      </c>
    </row>
    <row r="17" spans="1:11" x14ac:dyDescent="0.25">
      <c r="A17" s="4" t="s">
        <v>584</v>
      </c>
      <c r="B17" s="4" t="s">
        <v>565</v>
      </c>
      <c r="C17" s="4" t="s">
        <v>29</v>
      </c>
      <c r="D17" s="5">
        <v>22275.258552108189</v>
      </c>
      <c r="E17" s="5">
        <v>33854.801930317648</v>
      </c>
      <c r="F17" s="5">
        <v>33854.801930317648</v>
      </c>
      <c r="G17" s="4" t="s">
        <v>515</v>
      </c>
      <c r="H17" s="5">
        <v>0.65796452148669204</v>
      </c>
      <c r="I17" s="5">
        <v>0.65796452148669204</v>
      </c>
      <c r="J17" s="5">
        <v>0</v>
      </c>
      <c r="K17" s="5">
        <v>0</v>
      </c>
    </row>
    <row r="18" spans="1:11" x14ac:dyDescent="0.25">
      <c r="A18" s="4" t="s">
        <v>585</v>
      </c>
      <c r="B18" s="4" t="s">
        <v>565</v>
      </c>
      <c r="C18" s="4" t="s">
        <v>23</v>
      </c>
      <c r="D18" s="5">
        <v>9069.2124105011935</v>
      </c>
      <c r="E18" s="5">
        <v>14254.653444344271</v>
      </c>
      <c r="F18" s="5">
        <v>14254.653444344271</v>
      </c>
      <c r="G18" s="4" t="s">
        <v>515</v>
      </c>
      <c r="H18" s="5">
        <v>0.63622819354472104</v>
      </c>
      <c r="I18" s="5">
        <v>0.63622819354472104</v>
      </c>
      <c r="J18" s="5">
        <v>0</v>
      </c>
      <c r="K18" s="5">
        <v>0</v>
      </c>
    </row>
    <row r="19" spans="1:11" x14ac:dyDescent="0.25">
      <c r="A19" s="4" t="s">
        <v>586</v>
      </c>
      <c r="B19" s="4" t="s">
        <v>587</v>
      </c>
      <c r="C19" s="4" t="s">
        <v>28</v>
      </c>
      <c r="D19" s="5">
        <v>52466.189339697681</v>
      </c>
      <c r="E19" s="5">
        <v>85680</v>
      </c>
      <c r="F19" s="5">
        <v>214200</v>
      </c>
      <c r="G19" s="4" t="s">
        <v>588</v>
      </c>
      <c r="H19" s="5">
        <v>0.61235048248946877</v>
      </c>
      <c r="I19" s="5">
        <v>0.2449401929957874</v>
      </c>
      <c r="J19" s="5">
        <v>0</v>
      </c>
      <c r="K19" s="5">
        <v>0</v>
      </c>
    </row>
    <row r="20" spans="1:11" x14ac:dyDescent="0.25">
      <c r="A20" s="4" t="s">
        <v>589</v>
      </c>
      <c r="B20" s="4" t="s">
        <v>587</v>
      </c>
      <c r="C20" s="4" t="s">
        <v>32</v>
      </c>
      <c r="D20" s="5">
        <v>35032.39004432322</v>
      </c>
      <c r="E20" s="5">
        <v>71400</v>
      </c>
      <c r="F20" s="5">
        <v>142800</v>
      </c>
      <c r="G20" s="4" t="s">
        <v>588</v>
      </c>
      <c r="H20" s="5">
        <v>0.49064972050872852</v>
      </c>
      <c r="I20" s="5">
        <v>0.2453248602543642</v>
      </c>
      <c r="J20" s="5">
        <v>0</v>
      </c>
      <c r="K20" s="5">
        <v>0</v>
      </c>
    </row>
    <row r="21" spans="1:11" x14ac:dyDescent="0.25">
      <c r="A21" s="4" t="s">
        <v>590</v>
      </c>
      <c r="B21" s="4" t="s">
        <v>587</v>
      </c>
      <c r="C21" s="4" t="s">
        <v>27</v>
      </c>
      <c r="D21" s="5">
        <v>13985.68019093078</v>
      </c>
      <c r="E21" s="5">
        <v>28560</v>
      </c>
      <c r="F21" s="5">
        <v>57120</v>
      </c>
      <c r="G21" s="4" t="s">
        <v>588</v>
      </c>
      <c r="H21" s="5">
        <v>0.48969468455639997</v>
      </c>
      <c r="I21" s="5">
        <v>0.24484734227819999</v>
      </c>
      <c r="J21" s="5">
        <v>0</v>
      </c>
      <c r="K21" s="5">
        <v>0</v>
      </c>
    </row>
    <row r="22" spans="1:11" x14ac:dyDescent="0.25">
      <c r="A22" s="4" t="s">
        <v>591</v>
      </c>
      <c r="B22" s="4" t="s">
        <v>587</v>
      </c>
      <c r="C22" s="4" t="s">
        <v>21</v>
      </c>
      <c r="D22" s="5">
        <v>13500.39777247414</v>
      </c>
      <c r="E22" s="5">
        <v>28560</v>
      </c>
      <c r="F22" s="5">
        <v>57120</v>
      </c>
      <c r="G22" s="4" t="s">
        <v>588</v>
      </c>
      <c r="H22" s="5">
        <v>0.47270300323789011</v>
      </c>
      <c r="I22" s="5">
        <v>0.236351501618945</v>
      </c>
      <c r="J22" s="5">
        <v>0</v>
      </c>
      <c r="K22" s="5">
        <v>0</v>
      </c>
    </row>
    <row r="23" spans="1:11" x14ac:dyDescent="0.25">
      <c r="A23" s="4" t="s">
        <v>592</v>
      </c>
      <c r="B23" s="4" t="s">
        <v>565</v>
      </c>
      <c r="C23" s="4" t="s">
        <v>31</v>
      </c>
      <c r="D23" s="5">
        <v>1431.9809069212411</v>
      </c>
      <c r="E23" s="5">
        <v>3563.663361086069</v>
      </c>
      <c r="F23" s="5">
        <v>3563.663361086069</v>
      </c>
      <c r="G23" s="4" t="s">
        <v>515</v>
      </c>
      <c r="H23" s="5">
        <v>0.40182833276508689</v>
      </c>
      <c r="I23" s="5">
        <v>0.40182833276508689</v>
      </c>
      <c r="J23" s="5">
        <v>0</v>
      </c>
      <c r="K23" s="5">
        <v>0</v>
      </c>
    </row>
    <row r="24" spans="1:11" x14ac:dyDescent="0.25">
      <c r="A24" s="4" t="s">
        <v>593</v>
      </c>
      <c r="B24" s="4" t="s">
        <v>587</v>
      </c>
      <c r="C24" s="4" t="s">
        <v>191</v>
      </c>
      <c r="D24" s="5">
        <v>121764.2739122452</v>
      </c>
      <c r="E24" s="5">
        <v>357000</v>
      </c>
      <c r="F24" s="5">
        <v>399840</v>
      </c>
      <c r="G24" s="4" t="s">
        <v>588</v>
      </c>
      <c r="H24" s="5">
        <v>0.341076397513292</v>
      </c>
      <c r="I24" s="5">
        <v>0.30453249777972491</v>
      </c>
      <c r="J24" s="5">
        <v>0</v>
      </c>
      <c r="K24" s="5">
        <v>0</v>
      </c>
    </row>
    <row r="25" spans="1:11" x14ac:dyDescent="0.25">
      <c r="A25" s="4" t="s">
        <v>594</v>
      </c>
      <c r="B25" s="4" t="s">
        <v>587</v>
      </c>
      <c r="C25" s="4" t="s">
        <v>34</v>
      </c>
      <c r="D25" s="5">
        <v>12887.828162291171</v>
      </c>
      <c r="E25" s="5">
        <v>42840</v>
      </c>
      <c r="F25" s="5">
        <v>42840</v>
      </c>
      <c r="G25" s="4" t="s">
        <v>588</v>
      </c>
      <c r="H25" s="5">
        <v>0.30083632498345397</v>
      </c>
      <c r="I25" s="5">
        <v>0.30083632498345397</v>
      </c>
      <c r="J25" s="5">
        <v>0</v>
      </c>
      <c r="K25" s="5">
        <v>0</v>
      </c>
    </row>
    <row r="26" spans="1:11" ht="28" x14ac:dyDescent="0.25">
      <c r="A26" s="4" t="s">
        <v>595</v>
      </c>
      <c r="B26" s="4" t="s">
        <v>569</v>
      </c>
      <c r="C26" s="4" t="s">
        <v>43</v>
      </c>
      <c r="D26" s="5">
        <v>735083.53221957036</v>
      </c>
      <c r="E26" s="5">
        <v>2450000</v>
      </c>
      <c r="F26" s="5">
        <v>2450000</v>
      </c>
      <c r="G26" s="4" t="s">
        <v>530</v>
      </c>
      <c r="H26" s="5">
        <v>0.30003409478349807</v>
      </c>
      <c r="I26" s="5">
        <v>0.30003409478349807</v>
      </c>
      <c r="J26" s="5">
        <v>0</v>
      </c>
      <c r="K26" s="5">
        <v>0</v>
      </c>
    </row>
    <row r="27" spans="1:11" x14ac:dyDescent="0.25">
      <c r="A27" s="4" t="s">
        <v>596</v>
      </c>
      <c r="B27" s="4" t="s">
        <v>587</v>
      </c>
      <c r="C27" s="4" t="s">
        <v>26</v>
      </c>
      <c r="D27" s="5">
        <v>4176.6109785202852</v>
      </c>
      <c r="E27" s="5">
        <v>14280</v>
      </c>
      <c r="F27" s="5">
        <v>21420</v>
      </c>
      <c r="G27" s="4" t="s">
        <v>588</v>
      </c>
      <c r="H27" s="5">
        <v>0.29247976040058021</v>
      </c>
      <c r="I27" s="5">
        <v>0.19498650693372011</v>
      </c>
      <c r="J27" s="5">
        <v>0</v>
      </c>
      <c r="K27" s="5">
        <v>0</v>
      </c>
    </row>
    <row r="28" spans="1:11" x14ac:dyDescent="0.25">
      <c r="A28" s="4" t="s">
        <v>597</v>
      </c>
      <c r="B28" s="4" t="s">
        <v>587</v>
      </c>
      <c r="C28" s="4" t="s">
        <v>24</v>
      </c>
      <c r="D28" s="5">
        <v>15934.765314240251</v>
      </c>
      <c r="E28" s="5">
        <v>57120</v>
      </c>
      <c r="F28" s="5">
        <v>57120</v>
      </c>
      <c r="G28" s="4" t="s">
        <v>588</v>
      </c>
      <c r="H28" s="5">
        <v>0.27896998099160097</v>
      </c>
      <c r="I28" s="5">
        <v>0.27896998099160097</v>
      </c>
      <c r="J28" s="5">
        <v>0</v>
      </c>
      <c r="K28" s="5">
        <v>0</v>
      </c>
    </row>
    <row r="29" spans="1:11" x14ac:dyDescent="0.25">
      <c r="A29" s="4" t="s">
        <v>598</v>
      </c>
      <c r="B29" s="4" t="s">
        <v>587</v>
      </c>
      <c r="C29" s="4" t="s">
        <v>30</v>
      </c>
      <c r="D29" s="5">
        <v>29389.70337538356</v>
      </c>
      <c r="E29" s="5">
        <v>107100</v>
      </c>
      <c r="F29" s="5">
        <v>121380</v>
      </c>
      <c r="G29" s="4" t="s">
        <v>588</v>
      </c>
      <c r="H29" s="5">
        <v>0.2744136636357008</v>
      </c>
      <c r="I29" s="5">
        <v>0.24212970320797131</v>
      </c>
      <c r="J29" s="5">
        <v>0</v>
      </c>
      <c r="K29" s="5">
        <v>0</v>
      </c>
    </row>
    <row r="30" spans="1:11" x14ac:dyDescent="0.25">
      <c r="A30" s="4" t="s">
        <v>599</v>
      </c>
      <c r="B30" s="4" t="s">
        <v>587</v>
      </c>
      <c r="C30" s="4" t="s">
        <v>22</v>
      </c>
      <c r="D30" s="5">
        <v>74468.689623820886</v>
      </c>
      <c r="E30" s="5">
        <v>285600</v>
      </c>
      <c r="F30" s="5">
        <v>299880</v>
      </c>
      <c r="G30" s="4" t="s">
        <v>588</v>
      </c>
      <c r="H30" s="5">
        <v>0.26074471156800028</v>
      </c>
      <c r="I30" s="5">
        <v>0.24832829673142881</v>
      </c>
      <c r="J30" s="5">
        <v>0</v>
      </c>
      <c r="K30" s="5">
        <v>0</v>
      </c>
    </row>
    <row r="31" spans="1:11" x14ac:dyDescent="0.25">
      <c r="A31" s="4" t="s">
        <v>600</v>
      </c>
      <c r="B31" s="4" t="s">
        <v>587</v>
      </c>
      <c r="C31" s="4" t="s">
        <v>33</v>
      </c>
      <c r="D31" s="5">
        <v>3068.53051483123</v>
      </c>
      <c r="E31" s="5">
        <v>14280</v>
      </c>
      <c r="F31" s="5">
        <v>14280</v>
      </c>
      <c r="G31" s="4" t="s">
        <v>588</v>
      </c>
      <c r="H31" s="5">
        <v>0.2148830892738956</v>
      </c>
      <c r="I31" s="5">
        <v>0.2148830892738956</v>
      </c>
      <c r="J31" s="5">
        <v>0</v>
      </c>
      <c r="K31" s="5">
        <v>0</v>
      </c>
    </row>
    <row r="32" spans="1:11" x14ac:dyDescent="0.25">
      <c r="A32" s="4" t="s">
        <v>601</v>
      </c>
      <c r="B32" s="4" t="s">
        <v>587</v>
      </c>
      <c r="C32" s="4" t="s">
        <v>25</v>
      </c>
      <c r="D32" s="5">
        <v>2784.4073190135241</v>
      </c>
      <c r="E32" s="5">
        <v>14280</v>
      </c>
      <c r="F32" s="5">
        <v>14280</v>
      </c>
      <c r="G32" s="4" t="s">
        <v>588</v>
      </c>
      <c r="H32" s="5">
        <v>0.19498650693372011</v>
      </c>
      <c r="I32" s="5">
        <v>0.19498650693372011</v>
      </c>
      <c r="J32" s="5">
        <v>0</v>
      </c>
      <c r="K32" s="5">
        <v>0</v>
      </c>
    </row>
    <row r="33" spans="1:11" x14ac:dyDescent="0.25">
      <c r="A33" s="4" t="s">
        <v>602</v>
      </c>
      <c r="B33" s="4" t="s">
        <v>587</v>
      </c>
      <c r="C33" s="4" t="s">
        <v>29</v>
      </c>
      <c r="D33" s="5">
        <v>22275.258552108189</v>
      </c>
      <c r="E33" s="5">
        <v>135660</v>
      </c>
      <c r="F33" s="5">
        <v>135660</v>
      </c>
      <c r="G33" s="4" t="s">
        <v>588</v>
      </c>
      <c r="H33" s="5">
        <v>0.164199163733659</v>
      </c>
      <c r="I33" s="5">
        <v>0.164199163733659</v>
      </c>
      <c r="J33" s="5">
        <v>0</v>
      </c>
      <c r="K33" s="5">
        <v>0</v>
      </c>
    </row>
    <row r="34" spans="1:11" x14ac:dyDescent="0.25">
      <c r="A34" s="4" t="s">
        <v>603</v>
      </c>
      <c r="B34" s="4" t="s">
        <v>587</v>
      </c>
      <c r="C34" s="4" t="s">
        <v>23</v>
      </c>
      <c r="D34" s="5">
        <v>9069.2124105011935</v>
      </c>
      <c r="E34" s="5">
        <v>57120</v>
      </c>
      <c r="F34" s="5">
        <v>57120</v>
      </c>
      <c r="G34" s="4" t="s">
        <v>588</v>
      </c>
      <c r="H34" s="5">
        <v>0.15877472707460069</v>
      </c>
      <c r="I34" s="5">
        <v>0.15877472707460069</v>
      </c>
      <c r="J34" s="5">
        <v>0</v>
      </c>
      <c r="K34" s="5">
        <v>0</v>
      </c>
    </row>
    <row r="35" spans="1:11" x14ac:dyDescent="0.25">
      <c r="A35" s="4" t="s">
        <v>177</v>
      </c>
      <c r="B35" s="4" t="s">
        <v>177</v>
      </c>
      <c r="C35" s="4" t="s">
        <v>429</v>
      </c>
      <c r="D35" s="5">
        <v>1081872.3281491781</v>
      </c>
      <c r="E35" s="5">
        <v>7140000</v>
      </c>
      <c r="F35" s="5">
        <v>7140000</v>
      </c>
      <c r="G35" s="4" t="s">
        <v>534</v>
      </c>
      <c r="H35" s="5">
        <v>0.1515227350348988</v>
      </c>
      <c r="I35" s="5">
        <v>0.1515227350348988</v>
      </c>
      <c r="J35" s="5">
        <v>0</v>
      </c>
      <c r="K35" s="5">
        <v>0</v>
      </c>
    </row>
    <row r="36" spans="1:11" x14ac:dyDescent="0.25">
      <c r="A36" s="4" t="s">
        <v>604</v>
      </c>
      <c r="B36" s="4" t="s">
        <v>587</v>
      </c>
      <c r="C36" s="4" t="s">
        <v>31</v>
      </c>
      <c r="D36" s="5">
        <v>1431.9809069212411</v>
      </c>
      <c r="E36" s="5">
        <v>14280</v>
      </c>
      <c r="F36" s="5">
        <v>14280</v>
      </c>
      <c r="G36" s="4" t="s">
        <v>588</v>
      </c>
      <c r="H36" s="5">
        <v>0.10027877499448461</v>
      </c>
      <c r="I36" s="5">
        <v>0.10027877499448461</v>
      </c>
      <c r="J36" s="5">
        <v>0</v>
      </c>
      <c r="K36" s="5">
        <v>0</v>
      </c>
    </row>
  </sheetData>
  <phoneticPr fontId="4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0" customWidth="1"/>
    <col min="2" max="2" width="16" customWidth="1"/>
    <col min="3" max="3" width="17" customWidth="1"/>
    <col min="4" max="4" width="26" customWidth="1"/>
    <col min="5" max="5" width="30" customWidth="1"/>
    <col min="6" max="6" width="29" customWidth="1"/>
    <col min="7" max="7" width="21" customWidth="1"/>
    <col min="8" max="8" width="20" customWidth="1"/>
  </cols>
  <sheetData>
    <row r="1" spans="1:8" ht="28" x14ac:dyDescent="0.25">
      <c r="A1" s="3" t="s">
        <v>565</v>
      </c>
      <c r="B1" s="3" t="s">
        <v>605</v>
      </c>
      <c r="C1" s="3" t="s">
        <v>606</v>
      </c>
      <c r="D1" s="3" t="s">
        <v>607</v>
      </c>
      <c r="E1" s="3" t="s">
        <v>608</v>
      </c>
      <c r="F1" s="3" t="s">
        <v>609</v>
      </c>
      <c r="G1" s="3" t="s">
        <v>610</v>
      </c>
      <c r="H1" s="3" t="s">
        <v>611</v>
      </c>
    </row>
    <row r="2" spans="1:8" x14ac:dyDescent="0.25">
      <c r="A2" s="4" t="s">
        <v>28</v>
      </c>
      <c r="B2" s="5">
        <v>12</v>
      </c>
      <c r="C2" s="4">
        <v>18</v>
      </c>
      <c r="D2" s="5">
        <v>30</v>
      </c>
      <c r="E2" s="5">
        <v>1781.8316805430341</v>
      </c>
      <c r="F2" s="5">
        <v>7140</v>
      </c>
      <c r="G2" s="5">
        <v>52466.189339697681</v>
      </c>
      <c r="H2" s="5">
        <v>52466.189339697681</v>
      </c>
    </row>
    <row r="3" spans="1:8" x14ac:dyDescent="0.25">
      <c r="A3" s="4" t="s">
        <v>32</v>
      </c>
      <c r="B3" s="5">
        <v>10</v>
      </c>
      <c r="C3" s="4">
        <v>10</v>
      </c>
      <c r="D3" s="5">
        <v>20</v>
      </c>
      <c r="E3" s="5">
        <v>1781.831680543035</v>
      </c>
      <c r="F3" s="5">
        <v>7140</v>
      </c>
      <c r="G3" s="5">
        <v>35032.39004432322</v>
      </c>
      <c r="H3" s="5">
        <v>35032.39004432322</v>
      </c>
    </row>
    <row r="4" spans="1:8" x14ac:dyDescent="0.25">
      <c r="A4" s="4" t="s">
        <v>27</v>
      </c>
      <c r="B4" s="5">
        <v>4</v>
      </c>
      <c r="C4" s="4">
        <v>4</v>
      </c>
      <c r="D4" s="5">
        <v>8</v>
      </c>
      <c r="E4" s="5">
        <v>1781.831680543035</v>
      </c>
      <c r="F4" s="5">
        <v>7140</v>
      </c>
      <c r="G4" s="5">
        <v>13985.68019093078</v>
      </c>
      <c r="H4" s="5">
        <v>13985.68019093078</v>
      </c>
    </row>
    <row r="5" spans="1:8" x14ac:dyDescent="0.25">
      <c r="A5" s="4" t="s">
        <v>191</v>
      </c>
      <c r="B5" s="5">
        <v>25</v>
      </c>
      <c r="C5" s="4">
        <v>3</v>
      </c>
      <c r="D5" s="5">
        <v>28</v>
      </c>
      <c r="E5" s="5">
        <v>2227.2896006787928</v>
      </c>
      <c r="F5" s="5">
        <v>14280</v>
      </c>
      <c r="G5" s="5">
        <v>60882.136956122617</v>
      </c>
      <c r="H5" s="5">
        <v>121764.2739122452</v>
      </c>
    </row>
    <row r="6" spans="1:8" x14ac:dyDescent="0.25">
      <c r="A6" s="4" t="s">
        <v>30</v>
      </c>
      <c r="B6" s="5">
        <v>15</v>
      </c>
      <c r="C6" s="4">
        <v>2</v>
      </c>
      <c r="D6" s="5">
        <v>17</v>
      </c>
      <c r="E6" s="5">
        <v>1781.831680543035</v>
      </c>
      <c r="F6" s="5">
        <v>7140</v>
      </c>
      <c r="G6" s="5">
        <v>29389.70337538356</v>
      </c>
      <c r="H6" s="5">
        <v>29389.70337538356</v>
      </c>
    </row>
    <row r="7" spans="1:8" x14ac:dyDescent="0.25">
      <c r="A7" s="4" t="s">
        <v>21</v>
      </c>
      <c r="B7" s="5">
        <v>2</v>
      </c>
      <c r="C7" s="4">
        <v>2</v>
      </c>
      <c r="D7" s="5">
        <v>4</v>
      </c>
      <c r="E7" s="5">
        <v>2227.2896006787928</v>
      </c>
      <c r="F7" s="5">
        <v>14280</v>
      </c>
      <c r="G7" s="5">
        <v>6750.1988862370708</v>
      </c>
      <c r="H7" s="5">
        <v>13500.39777247414</v>
      </c>
    </row>
    <row r="8" spans="1:8" x14ac:dyDescent="0.25">
      <c r="A8" s="4" t="s">
        <v>22</v>
      </c>
      <c r="B8" s="5">
        <v>20</v>
      </c>
      <c r="C8" s="4">
        <v>1</v>
      </c>
      <c r="D8" s="5">
        <v>21</v>
      </c>
      <c r="E8" s="5">
        <v>1781.831680543035</v>
      </c>
      <c r="F8" s="5">
        <v>14280</v>
      </c>
      <c r="G8" s="5">
        <v>37234.344811910443</v>
      </c>
      <c r="H8" s="5">
        <v>74468.689623820886</v>
      </c>
    </row>
    <row r="9" spans="1:8" x14ac:dyDescent="0.25">
      <c r="A9" s="4" t="s">
        <v>26</v>
      </c>
      <c r="B9" s="5">
        <v>2</v>
      </c>
      <c r="C9" s="4">
        <v>1</v>
      </c>
      <c r="D9" s="5">
        <v>3</v>
      </c>
      <c r="E9" s="5">
        <v>1559.1027204751549</v>
      </c>
      <c r="F9" s="5">
        <v>7140</v>
      </c>
      <c r="G9" s="5">
        <v>4176.6109785202852</v>
      </c>
      <c r="H9" s="5">
        <v>4176.6109785202852</v>
      </c>
    </row>
    <row r="10" spans="1:8" x14ac:dyDescent="0.25">
      <c r="A10" s="4" t="s">
        <v>23</v>
      </c>
      <c r="B10" s="5">
        <v>8</v>
      </c>
      <c r="C10" s="4">
        <v>0</v>
      </c>
      <c r="D10" s="5">
        <v>8</v>
      </c>
      <c r="E10" s="5">
        <v>1781.831680543035</v>
      </c>
      <c r="F10" s="5">
        <v>7140</v>
      </c>
      <c r="G10" s="5">
        <v>9069.2124105011935</v>
      </c>
      <c r="H10" s="5">
        <v>9069.2124105011935</v>
      </c>
    </row>
    <row r="11" spans="1:8" x14ac:dyDescent="0.25">
      <c r="A11" s="4" t="s">
        <v>24</v>
      </c>
      <c r="B11" s="5">
        <v>4</v>
      </c>
      <c r="C11" s="4">
        <v>0</v>
      </c>
      <c r="D11" s="5">
        <v>4</v>
      </c>
      <c r="E11" s="5">
        <v>2004.5606406109141</v>
      </c>
      <c r="F11" s="5">
        <v>14280</v>
      </c>
      <c r="G11" s="5">
        <v>7967.3826571201262</v>
      </c>
      <c r="H11" s="5">
        <v>15934.765314240251</v>
      </c>
    </row>
    <row r="12" spans="1:8" x14ac:dyDescent="0.25">
      <c r="A12" s="4" t="s">
        <v>34</v>
      </c>
      <c r="B12" s="5">
        <v>3</v>
      </c>
      <c r="C12" s="4">
        <v>0</v>
      </c>
      <c r="D12" s="5">
        <v>3</v>
      </c>
      <c r="E12" s="5">
        <v>2227.2896006787928</v>
      </c>
      <c r="F12" s="5">
        <v>14280</v>
      </c>
      <c r="G12" s="5">
        <v>6443.9140811455854</v>
      </c>
      <c r="H12" s="5">
        <v>12887.828162291171</v>
      </c>
    </row>
    <row r="13" spans="1:8" x14ac:dyDescent="0.25">
      <c r="A13" s="4" t="s">
        <v>25</v>
      </c>
      <c r="B13" s="5">
        <v>2</v>
      </c>
      <c r="C13" s="4">
        <v>0</v>
      </c>
      <c r="D13" s="5">
        <v>2</v>
      </c>
      <c r="E13" s="5">
        <v>1781.831680543035</v>
      </c>
      <c r="F13" s="5">
        <v>7140</v>
      </c>
      <c r="G13" s="5">
        <v>2784.4073190135241</v>
      </c>
      <c r="H13" s="5">
        <v>2784.4073190135241</v>
      </c>
    </row>
    <row r="14" spans="1:8" x14ac:dyDescent="0.25">
      <c r="A14" s="4" t="s">
        <v>29</v>
      </c>
      <c r="B14" s="5">
        <v>19</v>
      </c>
      <c r="C14" s="4">
        <v>0</v>
      </c>
      <c r="D14" s="5">
        <v>19</v>
      </c>
      <c r="E14" s="5">
        <v>1781.8316805430341</v>
      </c>
      <c r="F14" s="5">
        <v>7140</v>
      </c>
      <c r="G14" s="5">
        <v>22275.258552108189</v>
      </c>
      <c r="H14" s="5">
        <v>22275.258552108189</v>
      </c>
    </row>
    <row r="15" spans="1:8" x14ac:dyDescent="0.25">
      <c r="A15" s="4" t="s">
        <v>31</v>
      </c>
      <c r="B15" s="5">
        <v>2</v>
      </c>
      <c r="C15" s="4">
        <v>0</v>
      </c>
      <c r="D15" s="5">
        <v>2</v>
      </c>
      <c r="E15" s="5">
        <v>1781.831680543035</v>
      </c>
      <c r="F15" s="5">
        <v>7140</v>
      </c>
      <c r="G15" s="5">
        <v>1431.9809069212411</v>
      </c>
      <c r="H15" s="5">
        <v>1431.9809069212411</v>
      </c>
    </row>
    <row r="16" spans="1:8" x14ac:dyDescent="0.25">
      <c r="A16" s="4" t="s">
        <v>33</v>
      </c>
      <c r="B16" s="5">
        <v>2</v>
      </c>
      <c r="C16" s="4">
        <v>0</v>
      </c>
      <c r="D16" s="5">
        <v>2</v>
      </c>
      <c r="E16" s="5">
        <v>1781.831680543035</v>
      </c>
      <c r="F16" s="5">
        <v>7140</v>
      </c>
      <c r="G16" s="5">
        <v>3068.53051483123</v>
      </c>
      <c r="H16" s="5">
        <v>3068.53051483123</v>
      </c>
    </row>
  </sheetData>
  <phoneticPr fontId="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0" customWidth="1"/>
    <col min="2" max="2" width="14" customWidth="1"/>
    <col min="3" max="4" width="10" customWidth="1"/>
    <col min="5" max="5" width="11" customWidth="1"/>
    <col min="6" max="6" width="19" customWidth="1"/>
    <col min="7" max="7" width="13" customWidth="1"/>
    <col min="8" max="8" width="16" customWidth="1"/>
    <col min="9" max="10" width="20" customWidth="1"/>
    <col min="11" max="11" width="21" customWidth="1"/>
    <col min="12" max="12" width="12" customWidth="1"/>
  </cols>
  <sheetData>
    <row r="1" spans="1:12" ht="28" x14ac:dyDescent="0.25">
      <c r="A1" s="3" t="s">
        <v>365</v>
      </c>
      <c r="B1" s="3" t="s">
        <v>612</v>
      </c>
      <c r="C1" s="3" t="s">
        <v>319</v>
      </c>
      <c r="D1" s="3" t="s">
        <v>613</v>
      </c>
      <c r="E1" s="3" t="s">
        <v>174</v>
      </c>
      <c r="F1" s="3" t="s">
        <v>175</v>
      </c>
      <c r="G1" s="3" t="s">
        <v>176</v>
      </c>
      <c r="H1" s="3" t="s">
        <v>180</v>
      </c>
      <c r="I1" s="3" t="s">
        <v>614</v>
      </c>
      <c r="J1" s="3" t="s">
        <v>615</v>
      </c>
      <c r="K1" s="3" t="s">
        <v>616</v>
      </c>
      <c r="L1" s="3" t="s">
        <v>617</v>
      </c>
    </row>
    <row r="2" spans="1:12" ht="28" x14ac:dyDescent="0.25">
      <c r="A2" s="4" t="s">
        <v>368</v>
      </c>
      <c r="B2" s="4" t="s">
        <v>618</v>
      </c>
      <c r="C2" s="4" t="s">
        <v>333</v>
      </c>
      <c r="D2" s="4" t="s">
        <v>40</v>
      </c>
      <c r="E2" s="4" t="s">
        <v>41</v>
      </c>
      <c r="F2" s="4" t="s">
        <v>275</v>
      </c>
      <c r="G2" s="4" t="s">
        <v>276</v>
      </c>
      <c r="H2" s="5">
        <v>150</v>
      </c>
      <c r="I2" s="5">
        <v>2784.4073190135241</v>
      </c>
      <c r="J2" s="5">
        <v>5568.8146380270473</v>
      </c>
      <c r="K2" s="5">
        <v>2784.4073190135241</v>
      </c>
      <c r="L2" s="4" t="b">
        <v>0</v>
      </c>
    </row>
    <row r="3" spans="1:12" ht="28" x14ac:dyDescent="0.25">
      <c r="A3" s="4" t="s">
        <v>369</v>
      </c>
      <c r="B3" s="4" t="s">
        <v>619</v>
      </c>
      <c r="C3" s="4" t="s">
        <v>333</v>
      </c>
      <c r="D3" s="4" t="s">
        <v>40</v>
      </c>
      <c r="E3" s="4" t="s">
        <v>47</v>
      </c>
      <c r="F3" s="4" t="s">
        <v>280</v>
      </c>
      <c r="G3" s="4" t="s">
        <v>281</v>
      </c>
      <c r="H3" s="5">
        <v>200</v>
      </c>
      <c r="I3" s="5">
        <v>2088.3054892601431</v>
      </c>
      <c r="J3" s="5">
        <v>14618.138424821</v>
      </c>
      <c r="K3" s="5">
        <v>6264.9164677804274</v>
      </c>
      <c r="L3" s="4" t="b">
        <v>1</v>
      </c>
    </row>
    <row r="4" spans="1:12" ht="28" x14ac:dyDescent="0.25">
      <c r="A4" s="4" t="s">
        <v>370</v>
      </c>
      <c r="B4" s="4" t="s">
        <v>620</v>
      </c>
      <c r="C4" s="4" t="s">
        <v>334</v>
      </c>
      <c r="D4" s="4" t="s">
        <v>49</v>
      </c>
      <c r="E4" s="4" t="s">
        <v>41</v>
      </c>
      <c r="F4" s="4" t="s">
        <v>209</v>
      </c>
      <c r="G4" s="4" t="s">
        <v>210</v>
      </c>
      <c r="H4" s="5">
        <v>100</v>
      </c>
      <c r="I4" s="5">
        <v>6443.9140811455854</v>
      </c>
      <c r="J4" s="5">
        <v>19331.742243436751</v>
      </c>
      <c r="K4" s="5">
        <v>6443.9140811455854</v>
      </c>
      <c r="L4" s="4" t="b">
        <v>1</v>
      </c>
    </row>
    <row r="5" spans="1:12" ht="28" x14ac:dyDescent="0.25">
      <c r="A5" s="4" t="s">
        <v>371</v>
      </c>
      <c r="B5" s="4" t="s">
        <v>621</v>
      </c>
      <c r="C5" s="4" t="s">
        <v>334</v>
      </c>
      <c r="D5" s="4" t="s">
        <v>49</v>
      </c>
      <c r="E5" s="4" t="s">
        <v>47</v>
      </c>
      <c r="F5" s="4" t="s">
        <v>218</v>
      </c>
      <c r="G5" s="4" t="s">
        <v>201</v>
      </c>
      <c r="H5" s="5">
        <v>80</v>
      </c>
      <c r="I5" s="5">
        <v>8054.8926014319804</v>
      </c>
      <c r="J5" s="5">
        <v>72494.033412887831</v>
      </c>
      <c r="K5" s="5">
        <v>32219.570405727922</v>
      </c>
      <c r="L5" s="4" t="b">
        <v>1</v>
      </c>
    </row>
    <row r="6" spans="1:12" x14ac:dyDescent="0.25">
      <c r="A6" s="4" t="s">
        <v>372</v>
      </c>
      <c r="B6" s="4" t="s">
        <v>622</v>
      </c>
      <c r="C6" s="4" t="s">
        <v>337</v>
      </c>
      <c r="D6" s="4" t="s">
        <v>49</v>
      </c>
      <c r="E6" s="4" t="s">
        <v>41</v>
      </c>
      <c r="F6" s="4" t="s">
        <v>215</v>
      </c>
      <c r="G6" s="4" t="s">
        <v>216</v>
      </c>
      <c r="H6" s="5">
        <v>50</v>
      </c>
      <c r="I6" s="5">
        <v>8591.8854415274473</v>
      </c>
      <c r="J6" s="5">
        <v>51551.312649164684</v>
      </c>
      <c r="K6" s="5">
        <v>8591.8854415274473</v>
      </c>
      <c r="L6" s="4" t="b">
        <v>1</v>
      </c>
    </row>
    <row r="7" spans="1:12" ht="28" x14ac:dyDescent="0.25">
      <c r="A7" s="4" t="s">
        <v>373</v>
      </c>
      <c r="B7" s="4" t="s">
        <v>623</v>
      </c>
      <c r="C7" s="4" t="s">
        <v>337</v>
      </c>
      <c r="D7" s="4" t="s">
        <v>49</v>
      </c>
      <c r="E7" s="4" t="s">
        <v>47</v>
      </c>
      <c r="F7" s="4" t="s">
        <v>218</v>
      </c>
      <c r="G7" s="4" t="s">
        <v>201</v>
      </c>
      <c r="H7" s="5">
        <v>80</v>
      </c>
      <c r="I7" s="5">
        <v>5369.9284009546554</v>
      </c>
      <c r="J7" s="5">
        <v>48329.35560859189</v>
      </c>
      <c r="K7" s="5">
        <v>21479.713603818611</v>
      </c>
      <c r="L7" s="4" t="b">
        <v>1</v>
      </c>
    </row>
    <row r="8" spans="1:12" x14ac:dyDescent="0.25">
      <c r="A8" s="4" t="s">
        <v>374</v>
      </c>
      <c r="B8" s="4" t="s">
        <v>624</v>
      </c>
      <c r="C8" s="4" t="s">
        <v>340</v>
      </c>
      <c r="D8" s="4" t="s">
        <v>64</v>
      </c>
      <c r="E8" s="4" t="s">
        <v>65</v>
      </c>
      <c r="F8" s="4" t="s">
        <v>223</v>
      </c>
      <c r="G8" s="4" t="s">
        <v>30</v>
      </c>
      <c r="H8" s="5">
        <v>35</v>
      </c>
      <c r="I8" s="5">
        <v>5114.217524718717</v>
      </c>
      <c r="J8" s="5">
        <v>40913.740197749743</v>
      </c>
      <c r="K8" s="5">
        <v>5114.217524718717</v>
      </c>
      <c r="L8" s="4" t="b">
        <v>1</v>
      </c>
    </row>
    <row r="9" spans="1:12" ht="28" x14ac:dyDescent="0.25">
      <c r="A9" s="4" t="s">
        <v>375</v>
      </c>
      <c r="B9" s="4" t="s">
        <v>625</v>
      </c>
      <c r="C9" s="4" t="s">
        <v>340</v>
      </c>
      <c r="D9" s="4" t="s">
        <v>64</v>
      </c>
      <c r="E9" s="4" t="s">
        <v>71</v>
      </c>
      <c r="F9" s="4" t="s">
        <v>229</v>
      </c>
      <c r="G9" s="4" t="s">
        <v>230</v>
      </c>
      <c r="H9" s="5">
        <v>35</v>
      </c>
      <c r="I9" s="5">
        <v>5114.217524718717</v>
      </c>
      <c r="J9" s="5">
        <v>92055.915444936923</v>
      </c>
      <c r="K9" s="5">
        <v>10228.43504943743</v>
      </c>
      <c r="L9" s="4" t="b">
        <v>0</v>
      </c>
    </row>
    <row r="10" spans="1:12" x14ac:dyDescent="0.25">
      <c r="A10" s="4" t="s">
        <v>376</v>
      </c>
      <c r="B10" s="4" t="s">
        <v>626</v>
      </c>
      <c r="C10" s="4" t="s">
        <v>341</v>
      </c>
      <c r="D10" s="4" t="s">
        <v>76</v>
      </c>
      <c r="E10" s="4" t="s">
        <v>41</v>
      </c>
      <c r="F10" s="4" t="s">
        <v>233</v>
      </c>
      <c r="G10" s="4" t="s">
        <v>28</v>
      </c>
      <c r="H10" s="5">
        <v>60</v>
      </c>
      <c r="I10" s="5">
        <v>3778.838504375497</v>
      </c>
      <c r="J10" s="5">
        <v>15115.35401750199</v>
      </c>
      <c r="K10" s="5">
        <v>3778.838504375497</v>
      </c>
      <c r="L10" s="4" t="b">
        <v>1</v>
      </c>
    </row>
    <row r="11" spans="1:12" ht="28" x14ac:dyDescent="0.25">
      <c r="A11" s="4" t="s">
        <v>377</v>
      </c>
      <c r="B11" s="4" t="s">
        <v>627</v>
      </c>
      <c r="C11" s="4" t="s">
        <v>341</v>
      </c>
      <c r="D11" s="4" t="s">
        <v>76</v>
      </c>
      <c r="E11" s="4" t="s">
        <v>47</v>
      </c>
      <c r="F11" s="4" t="s">
        <v>234</v>
      </c>
      <c r="G11" s="4" t="s">
        <v>235</v>
      </c>
      <c r="H11" s="5">
        <v>50</v>
      </c>
      <c r="I11" s="5">
        <v>4534.6062052505968</v>
      </c>
      <c r="J11" s="5">
        <v>40811.455847255369</v>
      </c>
      <c r="K11" s="5">
        <v>13603.81861575179</v>
      </c>
      <c r="L11" s="4" t="b">
        <v>0</v>
      </c>
    </row>
    <row r="12" spans="1:12" x14ac:dyDescent="0.25">
      <c r="A12" s="4" t="s">
        <v>378</v>
      </c>
      <c r="B12" s="4" t="s">
        <v>628</v>
      </c>
      <c r="C12" s="4" t="s">
        <v>342</v>
      </c>
      <c r="D12" s="4" t="s">
        <v>84</v>
      </c>
      <c r="E12" s="4" t="s">
        <v>85</v>
      </c>
      <c r="F12" s="4" t="s">
        <v>241</v>
      </c>
      <c r="G12" s="4" t="s">
        <v>242</v>
      </c>
      <c r="H12" s="5">
        <v>25</v>
      </c>
      <c r="I12" s="5">
        <v>1145.5847255369929</v>
      </c>
      <c r="J12" s="5">
        <v>17183.770883054891</v>
      </c>
      <c r="K12" s="5">
        <v>0</v>
      </c>
      <c r="L12" s="4" t="b">
        <v>0</v>
      </c>
    </row>
    <row r="13" spans="1:12" ht="28" x14ac:dyDescent="0.25">
      <c r="A13" s="4" t="s">
        <v>379</v>
      </c>
      <c r="B13" s="4" t="s">
        <v>629</v>
      </c>
      <c r="C13" s="4" t="s">
        <v>343</v>
      </c>
      <c r="D13" s="4" t="s">
        <v>89</v>
      </c>
      <c r="E13" s="4" t="s">
        <v>85</v>
      </c>
      <c r="F13" s="4" t="s">
        <v>243</v>
      </c>
      <c r="G13" s="4" t="s">
        <v>244</v>
      </c>
      <c r="H13" s="5">
        <v>65</v>
      </c>
      <c r="I13" s="5">
        <v>3304.5713236644019</v>
      </c>
      <c r="J13" s="5">
        <v>16522.85661832201</v>
      </c>
      <c r="K13" s="5">
        <v>3304.5713236644019</v>
      </c>
      <c r="L13" s="4" t="b">
        <v>1</v>
      </c>
    </row>
    <row r="14" spans="1:12" ht="28" x14ac:dyDescent="0.25">
      <c r="A14" s="4" t="s">
        <v>380</v>
      </c>
      <c r="B14" s="4" t="s">
        <v>630</v>
      </c>
      <c r="C14" s="4" t="s">
        <v>344</v>
      </c>
      <c r="D14" s="4" t="s">
        <v>89</v>
      </c>
      <c r="E14" s="4" t="s">
        <v>94</v>
      </c>
      <c r="F14" s="4" t="s">
        <v>245</v>
      </c>
      <c r="G14" s="4" t="s">
        <v>244</v>
      </c>
      <c r="H14" s="5">
        <v>70</v>
      </c>
      <c r="I14" s="5">
        <v>3068.53051483123</v>
      </c>
      <c r="J14" s="5">
        <v>15342.652574156151</v>
      </c>
      <c r="K14" s="5">
        <v>6137.0610296624609</v>
      </c>
      <c r="L14" s="4" t="b">
        <v>1</v>
      </c>
    </row>
    <row r="15" spans="1:12" x14ac:dyDescent="0.25">
      <c r="A15" s="4" t="s">
        <v>381</v>
      </c>
      <c r="B15" s="4" t="s">
        <v>631</v>
      </c>
      <c r="C15" s="4" t="s">
        <v>344</v>
      </c>
      <c r="D15" s="4" t="s">
        <v>89</v>
      </c>
      <c r="E15" s="4" t="s">
        <v>98</v>
      </c>
      <c r="F15" s="4" t="s">
        <v>249</v>
      </c>
      <c r="G15" s="4" t="s">
        <v>31</v>
      </c>
      <c r="H15" s="5">
        <v>150</v>
      </c>
      <c r="I15" s="5">
        <v>1431.9809069212411</v>
      </c>
      <c r="J15" s="5">
        <v>2863.9618138424821</v>
      </c>
      <c r="K15" s="5">
        <v>1431.9809069212411</v>
      </c>
      <c r="L15" s="4" t="b">
        <v>1</v>
      </c>
    </row>
    <row r="16" spans="1:12" x14ac:dyDescent="0.25">
      <c r="A16" s="4" t="s">
        <v>382</v>
      </c>
      <c r="B16" s="4" t="s">
        <v>632</v>
      </c>
      <c r="C16" s="4" t="s">
        <v>347</v>
      </c>
      <c r="D16" s="4" t="s">
        <v>40</v>
      </c>
      <c r="E16" s="4" t="s">
        <v>85</v>
      </c>
      <c r="F16" s="4" t="s">
        <v>264</v>
      </c>
      <c r="G16" s="4" t="s">
        <v>191</v>
      </c>
      <c r="H16" s="5">
        <v>25</v>
      </c>
      <c r="I16" s="5">
        <v>1241.050119331743</v>
      </c>
      <c r="J16" s="5">
        <v>16133.651551312651</v>
      </c>
      <c r="K16" s="5">
        <v>1241.050119331743</v>
      </c>
      <c r="L16" s="4" t="b">
        <v>1</v>
      </c>
    </row>
    <row r="17" spans="1:12" ht="28" x14ac:dyDescent="0.25">
      <c r="A17" s="4" t="s">
        <v>383</v>
      </c>
      <c r="B17" s="4" t="s">
        <v>633</v>
      </c>
      <c r="C17" s="4" t="s">
        <v>349</v>
      </c>
      <c r="D17" s="4" t="s">
        <v>40</v>
      </c>
      <c r="E17" s="4" t="s">
        <v>106</v>
      </c>
      <c r="F17" s="4" t="s">
        <v>265</v>
      </c>
      <c r="G17" s="4" t="s">
        <v>266</v>
      </c>
      <c r="H17" s="5">
        <v>35</v>
      </c>
      <c r="I17" s="5">
        <v>2659.3931128537338</v>
      </c>
      <c r="J17" s="5">
        <v>34572.110467098537</v>
      </c>
      <c r="K17" s="5">
        <v>10637.572451414941</v>
      </c>
      <c r="L17" s="4" t="b">
        <v>1</v>
      </c>
    </row>
    <row r="18" spans="1:12" x14ac:dyDescent="0.25">
      <c r="A18" s="4" t="s">
        <v>384</v>
      </c>
      <c r="B18" s="4" t="s">
        <v>634</v>
      </c>
      <c r="C18" s="4" t="s">
        <v>349</v>
      </c>
      <c r="D18" s="4" t="s">
        <v>40</v>
      </c>
      <c r="E18" s="4" t="s">
        <v>110</v>
      </c>
      <c r="F18" s="4" t="s">
        <v>268</v>
      </c>
      <c r="G18" s="4" t="s">
        <v>30</v>
      </c>
      <c r="H18" s="5">
        <v>25</v>
      </c>
      <c r="I18" s="5">
        <v>3723.1503579952268</v>
      </c>
      <c r="J18" s="5">
        <v>22338.902147971359</v>
      </c>
      <c r="K18" s="5">
        <v>3723.1503579952268</v>
      </c>
      <c r="L18" s="4" t="b">
        <v>1</v>
      </c>
    </row>
    <row r="19" spans="1:12" x14ac:dyDescent="0.25">
      <c r="A19" s="4" t="s">
        <v>385</v>
      </c>
      <c r="B19" s="4" t="s">
        <v>635</v>
      </c>
      <c r="C19" s="4" t="s">
        <v>351</v>
      </c>
      <c r="D19" s="4" t="s">
        <v>114</v>
      </c>
      <c r="E19" s="4" t="s">
        <v>115</v>
      </c>
      <c r="F19" s="4" t="s">
        <v>253</v>
      </c>
      <c r="G19" s="4" t="s">
        <v>191</v>
      </c>
      <c r="H19" s="5">
        <v>50</v>
      </c>
      <c r="I19" s="5">
        <v>1145.5847255369929</v>
      </c>
      <c r="J19" s="5">
        <v>14892.6014319809</v>
      </c>
      <c r="K19" s="5">
        <v>1145.5847255369929</v>
      </c>
      <c r="L19" s="4" t="b">
        <v>1</v>
      </c>
    </row>
    <row r="20" spans="1:12" x14ac:dyDescent="0.25">
      <c r="A20" s="4" t="s">
        <v>386</v>
      </c>
      <c r="B20" s="4" t="s">
        <v>636</v>
      </c>
      <c r="C20" s="4" t="s">
        <v>352</v>
      </c>
      <c r="D20" s="4" t="s">
        <v>114</v>
      </c>
      <c r="E20" s="4" t="s">
        <v>41</v>
      </c>
      <c r="F20" s="4" t="s">
        <v>254</v>
      </c>
      <c r="G20" s="4" t="s">
        <v>22</v>
      </c>
      <c r="H20" s="5">
        <v>70</v>
      </c>
      <c r="I20" s="5">
        <v>818.2748039549947</v>
      </c>
      <c r="J20" s="5">
        <v>3273.0992158199788</v>
      </c>
      <c r="K20" s="5">
        <v>818.2748039549947</v>
      </c>
      <c r="L20" s="4" t="b">
        <v>1</v>
      </c>
    </row>
    <row r="21" spans="1:12" ht="28" x14ac:dyDescent="0.25">
      <c r="A21" s="4" t="s">
        <v>387</v>
      </c>
      <c r="B21" s="4" t="s">
        <v>637</v>
      </c>
      <c r="C21" s="4" t="s">
        <v>352</v>
      </c>
      <c r="D21" s="4" t="s">
        <v>114</v>
      </c>
      <c r="E21" s="4" t="s">
        <v>47</v>
      </c>
      <c r="F21" s="4" t="s">
        <v>256</v>
      </c>
      <c r="G21" s="4" t="s">
        <v>201</v>
      </c>
      <c r="H21" s="5">
        <v>80</v>
      </c>
      <c r="I21" s="5">
        <v>715.99045346062042</v>
      </c>
      <c r="J21" s="5">
        <v>10739.8568019093</v>
      </c>
      <c r="K21" s="5">
        <v>4295.9427207637227</v>
      </c>
      <c r="L21" s="4" t="b">
        <v>1</v>
      </c>
    </row>
    <row r="22" spans="1:12" x14ac:dyDescent="0.25">
      <c r="A22" s="4" t="s">
        <v>388</v>
      </c>
      <c r="B22" s="4" t="s">
        <v>638</v>
      </c>
      <c r="C22" s="4" t="s">
        <v>354</v>
      </c>
      <c r="D22" s="4" t="s">
        <v>118</v>
      </c>
      <c r="E22" s="4" t="s">
        <v>65</v>
      </c>
      <c r="F22" s="4" t="s">
        <v>259</v>
      </c>
      <c r="G22" s="4" t="s">
        <v>30</v>
      </c>
      <c r="H22" s="5">
        <v>35</v>
      </c>
      <c r="I22" s="5">
        <v>6137.0610296624609</v>
      </c>
      <c r="J22" s="5">
        <v>49096.488237299687</v>
      </c>
      <c r="K22" s="5">
        <v>6137.0610296624609</v>
      </c>
      <c r="L22" s="4" t="b">
        <v>1</v>
      </c>
    </row>
    <row r="23" spans="1:12" x14ac:dyDescent="0.25">
      <c r="A23" s="4" t="s">
        <v>389</v>
      </c>
      <c r="B23" s="4" t="s">
        <v>639</v>
      </c>
      <c r="C23" s="4" t="s">
        <v>354</v>
      </c>
      <c r="D23" s="4" t="s">
        <v>118</v>
      </c>
      <c r="E23" s="4" t="s">
        <v>71</v>
      </c>
      <c r="F23" s="4" t="s">
        <v>263</v>
      </c>
      <c r="G23" s="4" t="s">
        <v>242</v>
      </c>
      <c r="H23" s="5">
        <v>40</v>
      </c>
      <c r="I23" s="5">
        <v>5369.9284009546536</v>
      </c>
      <c r="J23" s="5">
        <v>91288.782816229126</v>
      </c>
      <c r="K23" s="5">
        <v>0</v>
      </c>
      <c r="L23" s="4" t="b">
        <v>0</v>
      </c>
    </row>
    <row r="24" spans="1:12" ht="28" x14ac:dyDescent="0.25">
      <c r="A24" s="4" t="s">
        <v>390</v>
      </c>
      <c r="B24" s="4" t="s">
        <v>640</v>
      </c>
      <c r="C24" s="4" t="s">
        <v>355</v>
      </c>
      <c r="D24" s="4" t="s">
        <v>40</v>
      </c>
      <c r="E24" s="4" t="s">
        <v>41</v>
      </c>
      <c r="F24" s="4" t="s">
        <v>269</v>
      </c>
      <c r="G24" s="4" t="s">
        <v>270</v>
      </c>
      <c r="H24" s="5">
        <v>200</v>
      </c>
      <c r="I24" s="5">
        <v>1587.112171837709</v>
      </c>
      <c r="J24" s="5">
        <v>3174.224343675417</v>
      </c>
      <c r="K24" s="5">
        <v>1587.112171837709</v>
      </c>
      <c r="L24" s="4" t="b">
        <v>1</v>
      </c>
    </row>
    <row r="25" spans="1:12" ht="28" x14ac:dyDescent="0.25">
      <c r="A25" s="4" t="s">
        <v>391</v>
      </c>
      <c r="B25" s="4" t="s">
        <v>641</v>
      </c>
      <c r="C25" s="4" t="s">
        <v>355</v>
      </c>
      <c r="D25" s="4" t="s">
        <v>40</v>
      </c>
      <c r="E25" s="4" t="s">
        <v>47</v>
      </c>
      <c r="F25" s="4" t="s">
        <v>285</v>
      </c>
      <c r="G25" s="4" t="s">
        <v>286</v>
      </c>
      <c r="H25" s="5">
        <v>150</v>
      </c>
      <c r="I25" s="5">
        <v>2116.1495624502782</v>
      </c>
      <c r="J25" s="5">
        <v>14813.04693715195</v>
      </c>
      <c r="K25" s="5">
        <v>10580.747812251389</v>
      </c>
      <c r="L25" s="4" t="b">
        <v>0</v>
      </c>
    </row>
    <row r="26" spans="1:12" x14ac:dyDescent="0.25">
      <c r="A26" s="4" t="s">
        <v>392</v>
      </c>
      <c r="B26" s="4" t="s">
        <v>642</v>
      </c>
      <c r="C26" s="4" t="s">
        <v>356</v>
      </c>
      <c r="D26" s="4" t="s">
        <v>123</v>
      </c>
      <c r="E26" s="4" t="s">
        <v>124</v>
      </c>
      <c r="F26" s="4" t="s">
        <v>304</v>
      </c>
      <c r="G26" s="4" t="s">
        <v>242</v>
      </c>
      <c r="H26" s="5">
        <v>30</v>
      </c>
      <c r="I26" s="5">
        <v>1988.862370723946</v>
      </c>
      <c r="J26" s="5">
        <v>33810.660302307071</v>
      </c>
      <c r="K26" s="5">
        <v>0</v>
      </c>
      <c r="L26" s="4" t="b">
        <v>0</v>
      </c>
    </row>
    <row r="27" spans="1:12" x14ac:dyDescent="0.25">
      <c r="A27" s="4" t="s">
        <v>393</v>
      </c>
      <c r="B27" s="4" t="s">
        <v>643</v>
      </c>
      <c r="C27" s="4" t="s">
        <v>357</v>
      </c>
      <c r="D27" s="4" t="s">
        <v>126</v>
      </c>
      <c r="E27" s="4" t="s">
        <v>85</v>
      </c>
      <c r="F27" s="4" t="s">
        <v>204</v>
      </c>
      <c r="G27" s="4" t="s">
        <v>191</v>
      </c>
      <c r="H27" s="5">
        <v>40</v>
      </c>
      <c r="I27" s="5">
        <v>10739.8568019093</v>
      </c>
      <c r="J27" s="5">
        <v>75178.997613365136</v>
      </c>
      <c r="K27" s="5">
        <v>10739.8568019093</v>
      </c>
      <c r="L27" s="4" t="b">
        <v>1</v>
      </c>
    </row>
    <row r="28" spans="1:12" ht="28" x14ac:dyDescent="0.25">
      <c r="A28" s="4" t="s">
        <v>394</v>
      </c>
      <c r="B28" s="4" t="s">
        <v>644</v>
      </c>
      <c r="C28" s="4" t="s">
        <v>358</v>
      </c>
      <c r="D28" s="4" t="s">
        <v>126</v>
      </c>
      <c r="E28" s="4" t="s">
        <v>94</v>
      </c>
      <c r="F28" s="4" t="s">
        <v>205</v>
      </c>
      <c r="G28" s="4" t="s">
        <v>206</v>
      </c>
      <c r="H28" s="5">
        <v>50</v>
      </c>
      <c r="I28" s="5">
        <v>20047.732696897368</v>
      </c>
      <c r="J28" s="5">
        <v>140334.1288782816</v>
      </c>
      <c r="K28" s="5">
        <v>60143.198090692109</v>
      </c>
      <c r="L28" s="4" t="b">
        <v>1</v>
      </c>
    </row>
    <row r="29" spans="1:12" ht="28" x14ac:dyDescent="0.25">
      <c r="A29" s="4" t="s">
        <v>395</v>
      </c>
      <c r="B29" s="4" t="s">
        <v>645</v>
      </c>
      <c r="C29" s="4" t="s">
        <v>358</v>
      </c>
      <c r="D29" s="4" t="s">
        <v>126</v>
      </c>
      <c r="E29" s="4" t="s">
        <v>98</v>
      </c>
      <c r="F29" s="4" t="s">
        <v>185</v>
      </c>
      <c r="G29" s="4" t="s">
        <v>186</v>
      </c>
      <c r="H29" s="5">
        <v>45</v>
      </c>
      <c r="I29" s="5">
        <v>22275.258552108189</v>
      </c>
      <c r="J29" s="5">
        <v>89101.034208432757</v>
      </c>
      <c r="K29" s="5">
        <v>44550.517104216378</v>
      </c>
      <c r="L29" s="4" t="b">
        <v>0</v>
      </c>
    </row>
    <row r="30" spans="1:12" ht="28" x14ac:dyDescent="0.25">
      <c r="A30" s="4" t="s">
        <v>396</v>
      </c>
      <c r="B30" s="4" t="s">
        <v>646</v>
      </c>
      <c r="C30" s="4" t="s">
        <v>359</v>
      </c>
      <c r="D30" s="4" t="s">
        <v>129</v>
      </c>
      <c r="E30" s="4" t="s">
        <v>106</v>
      </c>
      <c r="F30" s="4" t="s">
        <v>297</v>
      </c>
      <c r="G30" s="4" t="s">
        <v>286</v>
      </c>
      <c r="H30" s="5">
        <v>150</v>
      </c>
      <c r="I30" s="5">
        <v>2291.1694510739849</v>
      </c>
      <c r="J30" s="5">
        <v>16038.186157517899</v>
      </c>
      <c r="K30" s="5">
        <v>11455.84725536993</v>
      </c>
      <c r="L30" s="4" t="b">
        <v>0</v>
      </c>
    </row>
    <row r="31" spans="1:12" ht="28" x14ac:dyDescent="0.25">
      <c r="A31" s="4" t="s">
        <v>397</v>
      </c>
      <c r="B31" s="4" t="s">
        <v>647</v>
      </c>
      <c r="C31" s="4" t="s">
        <v>359</v>
      </c>
      <c r="D31" s="4" t="s">
        <v>129</v>
      </c>
      <c r="E31" s="4" t="s">
        <v>110</v>
      </c>
      <c r="F31" s="4" t="s">
        <v>300</v>
      </c>
      <c r="G31" s="4" t="s">
        <v>270</v>
      </c>
      <c r="H31" s="5">
        <v>200</v>
      </c>
      <c r="I31" s="5">
        <v>1718.377088305489</v>
      </c>
      <c r="J31" s="5">
        <v>3436.754176610978</v>
      </c>
      <c r="K31" s="5">
        <v>1718.377088305489</v>
      </c>
      <c r="L31" s="4" t="b">
        <v>1</v>
      </c>
    </row>
    <row r="32" spans="1:12" ht="28" x14ac:dyDescent="0.25">
      <c r="A32" s="4" t="s">
        <v>398</v>
      </c>
      <c r="B32" s="4" t="s">
        <v>648</v>
      </c>
      <c r="C32" s="4" t="s">
        <v>362</v>
      </c>
      <c r="D32" s="4" t="s">
        <v>129</v>
      </c>
      <c r="E32" s="4" t="s">
        <v>106</v>
      </c>
      <c r="F32" s="4" t="s">
        <v>297</v>
      </c>
      <c r="G32" s="4" t="s">
        <v>286</v>
      </c>
      <c r="H32" s="5">
        <v>150</v>
      </c>
      <c r="I32" s="5">
        <v>254.5743834526651</v>
      </c>
      <c r="J32" s="5">
        <v>1782.020684168655</v>
      </c>
      <c r="K32" s="5">
        <v>1272.8719172633259</v>
      </c>
      <c r="L32" s="4" t="b">
        <v>0</v>
      </c>
    </row>
    <row r="33" spans="1:12" x14ac:dyDescent="0.25">
      <c r="A33" s="4" t="s">
        <v>399</v>
      </c>
      <c r="B33" s="4" t="s">
        <v>649</v>
      </c>
      <c r="C33" s="4" t="s">
        <v>362</v>
      </c>
      <c r="D33" s="4" t="s">
        <v>129</v>
      </c>
      <c r="E33" s="4" t="s">
        <v>110</v>
      </c>
      <c r="F33" s="4" t="s">
        <v>268</v>
      </c>
      <c r="G33" s="4" t="s">
        <v>30</v>
      </c>
      <c r="H33" s="5">
        <v>25</v>
      </c>
      <c r="I33" s="5">
        <v>1527.44630071599</v>
      </c>
      <c r="J33" s="5">
        <v>9164.6778042959431</v>
      </c>
      <c r="K33" s="5">
        <v>1527.44630071599</v>
      </c>
      <c r="L33" s="4" t="b">
        <v>1</v>
      </c>
    </row>
  </sheetData>
  <phoneticPr fontId="4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26" customWidth="1"/>
    <col min="3" max="3" width="19" customWidth="1"/>
    <col min="4" max="4" width="27" customWidth="1"/>
  </cols>
  <sheetData>
    <row r="1" spans="1:4" ht="28" x14ac:dyDescent="0.25">
      <c r="A1" s="3" t="s">
        <v>650</v>
      </c>
      <c r="B1" s="3" t="s">
        <v>651</v>
      </c>
      <c r="C1" s="3" t="s">
        <v>652</v>
      </c>
      <c r="D1" s="3" t="s">
        <v>653</v>
      </c>
    </row>
    <row r="2" spans="1:4" x14ac:dyDescent="0.25">
      <c r="A2" s="5">
        <v>11</v>
      </c>
      <c r="B2" s="5">
        <v>2.453757272764582</v>
      </c>
      <c r="C2" s="5">
        <v>5.7802841178600719</v>
      </c>
      <c r="D2" s="5">
        <v>1368672.7512741829</v>
      </c>
    </row>
  </sheetData>
  <phoneticPr fontId="4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7" customWidth="1"/>
    <col min="2" max="3" width="15" customWidth="1"/>
    <col min="4" max="5" width="20" customWidth="1"/>
    <col min="6" max="6" width="10" customWidth="1"/>
    <col min="7" max="8" width="20" customWidth="1"/>
  </cols>
  <sheetData>
    <row r="1" spans="1:8" x14ac:dyDescent="0.25">
      <c r="A1" s="3" t="s">
        <v>553</v>
      </c>
      <c r="B1" s="3" t="s">
        <v>554</v>
      </c>
      <c r="C1" s="3" t="s">
        <v>555</v>
      </c>
      <c r="D1" s="3" t="s">
        <v>556</v>
      </c>
      <c r="E1" s="3" t="s">
        <v>654</v>
      </c>
      <c r="F1" s="3" t="s">
        <v>559</v>
      </c>
      <c r="G1" s="3" t="s">
        <v>655</v>
      </c>
      <c r="H1" s="3" t="s">
        <v>656</v>
      </c>
    </row>
    <row r="2" spans="1:8" x14ac:dyDescent="0.25">
      <c r="A2" s="4" t="s">
        <v>564</v>
      </c>
      <c r="B2" s="4" t="s">
        <v>565</v>
      </c>
      <c r="C2" s="4" t="s">
        <v>28</v>
      </c>
      <c r="D2" s="5">
        <v>52466.189339697681</v>
      </c>
      <c r="E2" s="5">
        <v>21381.980166516409</v>
      </c>
      <c r="F2" s="4" t="s">
        <v>515</v>
      </c>
      <c r="G2" s="5">
        <v>2.453757272764582</v>
      </c>
      <c r="H2" s="5">
        <v>31084.209173181269</v>
      </c>
    </row>
    <row r="3" spans="1:8" x14ac:dyDescent="0.25">
      <c r="A3" s="4" t="s">
        <v>572</v>
      </c>
      <c r="B3" s="4" t="s">
        <v>565</v>
      </c>
      <c r="C3" s="4" t="s">
        <v>26</v>
      </c>
      <c r="D3" s="5">
        <v>6610.9785202863968</v>
      </c>
      <c r="E3" s="5">
        <v>3118.2054409503098</v>
      </c>
      <c r="F3" s="4" t="s">
        <v>515</v>
      </c>
      <c r="G3" s="5">
        <v>2.120122822398649</v>
      </c>
      <c r="H3" s="5">
        <v>3492.773079336087</v>
      </c>
    </row>
    <row r="4" spans="1:8" x14ac:dyDescent="0.25">
      <c r="A4" s="4" t="s">
        <v>566</v>
      </c>
      <c r="B4" s="4" t="s">
        <v>565</v>
      </c>
      <c r="C4" s="4" t="s">
        <v>32</v>
      </c>
      <c r="D4" s="5">
        <v>35032.390044323212</v>
      </c>
      <c r="E4" s="5">
        <v>17818.316805430339</v>
      </c>
      <c r="F4" s="4" t="s">
        <v>515</v>
      </c>
      <c r="G4" s="5">
        <v>1.966088628172032</v>
      </c>
      <c r="H4" s="5">
        <v>17214.07323889287</v>
      </c>
    </row>
    <row r="5" spans="1:8" ht="28" x14ac:dyDescent="0.25">
      <c r="A5" s="4" t="s">
        <v>568</v>
      </c>
      <c r="B5" s="4" t="s">
        <v>569</v>
      </c>
      <c r="C5" s="4" t="s">
        <v>51</v>
      </c>
      <c r="D5" s="5">
        <v>2575178.9976133648</v>
      </c>
      <c r="E5" s="5">
        <v>1470000</v>
      </c>
      <c r="F5" s="4" t="s">
        <v>530</v>
      </c>
      <c r="G5" s="5">
        <v>1.75182244735603</v>
      </c>
      <c r="H5" s="5">
        <v>1105178.9976133651</v>
      </c>
    </row>
    <row r="6" spans="1:8" x14ac:dyDescent="0.25">
      <c r="A6" s="4" t="s">
        <v>570</v>
      </c>
      <c r="B6" s="4" t="s">
        <v>569</v>
      </c>
      <c r="C6" s="4" t="s">
        <v>67</v>
      </c>
      <c r="D6" s="5">
        <v>868735.08353221952</v>
      </c>
      <c r="E6" s="5">
        <v>560174.99999999988</v>
      </c>
      <c r="F6" s="4" t="s">
        <v>530</v>
      </c>
      <c r="G6" s="5">
        <v>1.5508280154098619</v>
      </c>
      <c r="H6" s="5">
        <v>308560.08353221958</v>
      </c>
    </row>
    <row r="7" spans="1:8" x14ac:dyDescent="0.25">
      <c r="A7" s="4" t="s">
        <v>571</v>
      </c>
      <c r="B7" s="4" t="s">
        <v>565</v>
      </c>
      <c r="C7" s="4" t="s">
        <v>21</v>
      </c>
      <c r="D7" s="5">
        <v>6089.8965791567216</v>
      </c>
      <c r="E7" s="5">
        <v>4454.5792013575856</v>
      </c>
      <c r="F7" s="4" t="s">
        <v>515</v>
      </c>
      <c r="G7" s="5">
        <v>1.367109283251885</v>
      </c>
      <c r="H7" s="5">
        <v>1635.317377799136</v>
      </c>
    </row>
    <row r="8" spans="1:8" x14ac:dyDescent="0.25">
      <c r="A8" s="4" t="s">
        <v>567</v>
      </c>
      <c r="B8" s="4" t="s">
        <v>565</v>
      </c>
      <c r="C8" s="4" t="s">
        <v>27</v>
      </c>
      <c r="D8" s="5">
        <v>9498.8066825775641</v>
      </c>
      <c r="E8" s="5">
        <v>7127.3267221721371</v>
      </c>
      <c r="F8" s="4" t="s">
        <v>515</v>
      </c>
      <c r="G8" s="5">
        <v>1.3327306370042049</v>
      </c>
      <c r="H8" s="5">
        <v>2371.4799604054269</v>
      </c>
    </row>
    <row r="9" spans="1:8" x14ac:dyDescent="0.25">
      <c r="A9" s="4" t="s">
        <v>573</v>
      </c>
      <c r="B9" s="4" t="s">
        <v>565</v>
      </c>
      <c r="C9" s="4" t="s">
        <v>30</v>
      </c>
      <c r="D9" s="5">
        <v>29389.70337538356</v>
      </c>
      <c r="E9" s="5">
        <v>26727.475208145519</v>
      </c>
      <c r="F9" s="4" t="s">
        <v>515</v>
      </c>
      <c r="G9" s="5">
        <v>1.099606421725412</v>
      </c>
      <c r="H9" s="5">
        <v>2662.2281672380409</v>
      </c>
    </row>
    <row r="10" spans="1:8" x14ac:dyDescent="0.25">
      <c r="A10" s="4" t="s">
        <v>574</v>
      </c>
      <c r="B10" s="4" t="s">
        <v>565</v>
      </c>
      <c r="C10" s="4" t="s">
        <v>191</v>
      </c>
      <c r="D10" s="5">
        <v>60882.136956122631</v>
      </c>
      <c r="E10" s="5">
        <v>55682.240016969823</v>
      </c>
      <c r="F10" s="4" t="s">
        <v>515</v>
      </c>
      <c r="G10" s="5">
        <v>1.0933851967443851</v>
      </c>
      <c r="H10" s="5">
        <v>5199.896939152808</v>
      </c>
    </row>
    <row r="11" spans="1:8" x14ac:dyDescent="0.25">
      <c r="A11" s="4" t="s">
        <v>575</v>
      </c>
      <c r="B11" s="4" t="s">
        <v>565</v>
      </c>
      <c r="C11" s="4" t="s">
        <v>22</v>
      </c>
      <c r="D11" s="5">
        <v>37234.344811910443</v>
      </c>
      <c r="E11" s="5">
        <v>35636.633610860677</v>
      </c>
      <c r="F11" s="4" t="s">
        <v>515</v>
      </c>
      <c r="G11" s="5">
        <v>1.044833393033028</v>
      </c>
      <c r="H11" s="5">
        <v>1597.711201049751</v>
      </c>
    </row>
    <row r="12" spans="1:8" x14ac:dyDescent="0.25">
      <c r="A12" s="4" t="s">
        <v>577</v>
      </c>
      <c r="B12" s="4" t="s">
        <v>565</v>
      </c>
      <c r="C12" s="4" t="s">
        <v>34</v>
      </c>
      <c r="D12" s="5">
        <v>6443.9140811455854</v>
      </c>
      <c r="E12" s="5">
        <v>6681.8688020363788</v>
      </c>
      <c r="F12" s="4" t="s">
        <v>515</v>
      </c>
      <c r="G12" s="5">
        <v>0.96438799863620861</v>
      </c>
      <c r="H12" s="5">
        <v>0</v>
      </c>
    </row>
    <row r="13" spans="1:8" x14ac:dyDescent="0.25">
      <c r="A13" s="4" t="s">
        <v>578</v>
      </c>
      <c r="B13" s="4" t="s">
        <v>565</v>
      </c>
      <c r="C13" s="4" t="s">
        <v>33</v>
      </c>
      <c r="D13" s="5">
        <v>3068.53051483123</v>
      </c>
      <c r="E13" s="5">
        <v>3563.663361086069</v>
      </c>
      <c r="F13" s="4" t="s">
        <v>515</v>
      </c>
      <c r="G13" s="5">
        <v>0.86106071306804333</v>
      </c>
      <c r="H13" s="5">
        <v>0</v>
      </c>
    </row>
    <row r="14" spans="1:8" x14ac:dyDescent="0.25">
      <c r="A14" s="4" t="s">
        <v>576</v>
      </c>
      <c r="B14" s="4" t="s">
        <v>565</v>
      </c>
      <c r="C14" s="4" t="s">
        <v>24</v>
      </c>
      <c r="D14" s="5">
        <v>6471.7581543357182</v>
      </c>
      <c r="E14" s="5">
        <v>8018.2425624436546</v>
      </c>
      <c r="F14" s="4" t="s">
        <v>515</v>
      </c>
      <c r="G14" s="5">
        <v>0.80712925606024233</v>
      </c>
      <c r="H14" s="5">
        <v>0</v>
      </c>
    </row>
    <row r="15" spans="1:8" x14ac:dyDescent="0.25">
      <c r="A15" s="4" t="s">
        <v>579</v>
      </c>
      <c r="B15" s="4" t="s">
        <v>565</v>
      </c>
      <c r="C15" s="4" t="s">
        <v>25</v>
      </c>
      <c r="D15" s="5">
        <v>2784.4073190135241</v>
      </c>
      <c r="E15" s="5">
        <v>3563.663361086069</v>
      </c>
      <c r="F15" s="4" t="s">
        <v>515</v>
      </c>
      <c r="G15" s="5">
        <v>0.78133286926544665</v>
      </c>
      <c r="H15" s="5">
        <v>0</v>
      </c>
    </row>
    <row r="16" spans="1:8" ht="28" x14ac:dyDescent="0.25">
      <c r="A16" s="4" t="s">
        <v>580</v>
      </c>
      <c r="B16" s="4" t="s">
        <v>581</v>
      </c>
      <c r="C16" s="4" t="s">
        <v>582</v>
      </c>
      <c r="D16" s="5">
        <v>80972.488132392638</v>
      </c>
      <c r="E16" s="5">
        <v>114240</v>
      </c>
      <c r="F16" s="4" t="s">
        <v>583</v>
      </c>
      <c r="G16" s="5">
        <v>0.70879278827374503</v>
      </c>
      <c r="H16" s="5">
        <v>0</v>
      </c>
    </row>
    <row r="17" spans="1:8" x14ac:dyDescent="0.25">
      <c r="A17" s="4" t="s">
        <v>584</v>
      </c>
      <c r="B17" s="4" t="s">
        <v>565</v>
      </c>
      <c r="C17" s="4" t="s">
        <v>29</v>
      </c>
      <c r="D17" s="5">
        <v>22275.258552108189</v>
      </c>
      <c r="E17" s="5">
        <v>33854.801930317648</v>
      </c>
      <c r="F17" s="4" t="s">
        <v>515</v>
      </c>
      <c r="G17" s="5">
        <v>0.65796452148669204</v>
      </c>
      <c r="H17" s="5">
        <v>0</v>
      </c>
    </row>
    <row r="18" spans="1:8" x14ac:dyDescent="0.25">
      <c r="A18" s="4" t="s">
        <v>585</v>
      </c>
      <c r="B18" s="4" t="s">
        <v>565</v>
      </c>
      <c r="C18" s="4" t="s">
        <v>23</v>
      </c>
      <c r="D18" s="5">
        <v>9069.2124105011935</v>
      </c>
      <c r="E18" s="5">
        <v>14254.653444344271</v>
      </c>
      <c r="F18" s="4" t="s">
        <v>515</v>
      </c>
      <c r="G18" s="5">
        <v>0.63622819354472104</v>
      </c>
      <c r="H18" s="5">
        <v>0</v>
      </c>
    </row>
    <row r="19" spans="1:8" x14ac:dyDescent="0.25">
      <c r="A19" s="4" t="s">
        <v>586</v>
      </c>
      <c r="B19" s="4" t="s">
        <v>587</v>
      </c>
      <c r="C19" s="4" t="s">
        <v>28</v>
      </c>
      <c r="D19" s="5">
        <v>52466.189339697681</v>
      </c>
      <c r="E19" s="5">
        <v>85680</v>
      </c>
      <c r="F19" s="4" t="s">
        <v>588</v>
      </c>
      <c r="G19" s="5">
        <v>0.61235048248946877</v>
      </c>
      <c r="H19" s="5">
        <v>0</v>
      </c>
    </row>
    <row r="20" spans="1:8" x14ac:dyDescent="0.25">
      <c r="A20" s="4" t="s">
        <v>589</v>
      </c>
      <c r="B20" s="4" t="s">
        <v>587</v>
      </c>
      <c r="C20" s="4" t="s">
        <v>32</v>
      </c>
      <c r="D20" s="5">
        <v>35032.390044323212</v>
      </c>
      <c r="E20" s="5">
        <v>71400</v>
      </c>
      <c r="F20" s="4" t="s">
        <v>588</v>
      </c>
      <c r="G20" s="5">
        <v>0.4906497205087284</v>
      </c>
      <c r="H20" s="5">
        <v>0</v>
      </c>
    </row>
    <row r="21" spans="1:8" x14ac:dyDescent="0.25">
      <c r="A21" s="4" t="s">
        <v>596</v>
      </c>
      <c r="B21" s="4" t="s">
        <v>587</v>
      </c>
      <c r="C21" s="4" t="s">
        <v>26</v>
      </c>
      <c r="D21" s="5">
        <v>6610.9785202863968</v>
      </c>
      <c r="E21" s="5">
        <v>14280</v>
      </c>
      <c r="F21" s="4" t="s">
        <v>588</v>
      </c>
      <c r="G21" s="5">
        <v>0.46295367789120428</v>
      </c>
      <c r="H21" s="5">
        <v>0</v>
      </c>
    </row>
    <row r="22" spans="1:8" x14ac:dyDescent="0.25">
      <c r="A22" s="4" t="s">
        <v>591</v>
      </c>
      <c r="B22" s="4" t="s">
        <v>587</v>
      </c>
      <c r="C22" s="4" t="s">
        <v>21</v>
      </c>
      <c r="D22" s="5">
        <v>12179.79315831344</v>
      </c>
      <c r="E22" s="5">
        <v>28560</v>
      </c>
      <c r="F22" s="4" t="s">
        <v>588</v>
      </c>
      <c r="G22" s="5">
        <v>0.42646334587932222</v>
      </c>
      <c r="H22" s="5">
        <v>0</v>
      </c>
    </row>
    <row r="23" spans="1:8" x14ac:dyDescent="0.25">
      <c r="A23" s="4" t="s">
        <v>592</v>
      </c>
      <c r="B23" s="4" t="s">
        <v>565</v>
      </c>
      <c r="C23" s="4" t="s">
        <v>31</v>
      </c>
      <c r="D23" s="5">
        <v>1431.9809069212411</v>
      </c>
      <c r="E23" s="5">
        <v>3563.663361086069</v>
      </c>
      <c r="F23" s="4" t="s">
        <v>515</v>
      </c>
      <c r="G23" s="5">
        <v>0.40182833276508689</v>
      </c>
      <c r="H23" s="5">
        <v>0</v>
      </c>
    </row>
    <row r="24" spans="1:8" x14ac:dyDescent="0.25">
      <c r="A24" s="4" t="s">
        <v>593</v>
      </c>
      <c r="B24" s="4" t="s">
        <v>587</v>
      </c>
      <c r="C24" s="4" t="s">
        <v>191</v>
      </c>
      <c r="D24" s="5">
        <v>121764.27391224531</v>
      </c>
      <c r="E24" s="5">
        <v>357000</v>
      </c>
      <c r="F24" s="4" t="s">
        <v>588</v>
      </c>
      <c r="G24" s="5">
        <v>0.341076397513292</v>
      </c>
      <c r="H24" s="5">
        <v>0</v>
      </c>
    </row>
    <row r="25" spans="1:8" x14ac:dyDescent="0.25">
      <c r="A25" s="4" t="s">
        <v>590</v>
      </c>
      <c r="B25" s="4" t="s">
        <v>587</v>
      </c>
      <c r="C25" s="4" t="s">
        <v>27</v>
      </c>
      <c r="D25" s="5">
        <v>9498.8066825775641</v>
      </c>
      <c r="E25" s="5">
        <v>28560</v>
      </c>
      <c r="F25" s="4" t="s">
        <v>588</v>
      </c>
      <c r="G25" s="5">
        <v>0.33259127039837411</v>
      </c>
      <c r="H25" s="5">
        <v>0</v>
      </c>
    </row>
    <row r="26" spans="1:8" x14ac:dyDescent="0.25">
      <c r="A26" s="4" t="s">
        <v>594</v>
      </c>
      <c r="B26" s="4" t="s">
        <v>587</v>
      </c>
      <c r="C26" s="4" t="s">
        <v>34</v>
      </c>
      <c r="D26" s="5">
        <v>12887.828162291171</v>
      </c>
      <c r="E26" s="5">
        <v>42840</v>
      </c>
      <c r="F26" s="4" t="s">
        <v>588</v>
      </c>
      <c r="G26" s="5">
        <v>0.30083632498345397</v>
      </c>
      <c r="H26" s="5">
        <v>0</v>
      </c>
    </row>
    <row r="27" spans="1:8" ht="28" x14ac:dyDescent="0.25">
      <c r="A27" s="4" t="s">
        <v>595</v>
      </c>
      <c r="B27" s="4" t="s">
        <v>569</v>
      </c>
      <c r="C27" s="4" t="s">
        <v>43</v>
      </c>
      <c r="D27" s="5">
        <v>735083.53221957036</v>
      </c>
      <c r="E27" s="5">
        <v>2450000</v>
      </c>
      <c r="F27" s="4" t="s">
        <v>530</v>
      </c>
      <c r="G27" s="5">
        <v>0.30003409478349807</v>
      </c>
      <c r="H27" s="5">
        <v>0</v>
      </c>
    </row>
    <row r="28" spans="1:8" x14ac:dyDescent="0.25">
      <c r="A28" s="4" t="s">
        <v>598</v>
      </c>
      <c r="B28" s="4" t="s">
        <v>587</v>
      </c>
      <c r="C28" s="4" t="s">
        <v>30</v>
      </c>
      <c r="D28" s="5">
        <v>29389.70337538356</v>
      </c>
      <c r="E28" s="5">
        <v>107100</v>
      </c>
      <c r="F28" s="4" t="s">
        <v>588</v>
      </c>
      <c r="G28" s="5">
        <v>0.2744136636357008</v>
      </c>
      <c r="H28" s="5">
        <v>0</v>
      </c>
    </row>
    <row r="29" spans="1:8" x14ac:dyDescent="0.25">
      <c r="A29" s="4" t="s">
        <v>599</v>
      </c>
      <c r="B29" s="4" t="s">
        <v>587</v>
      </c>
      <c r="C29" s="4" t="s">
        <v>22</v>
      </c>
      <c r="D29" s="5">
        <v>74468.689623820872</v>
      </c>
      <c r="E29" s="5">
        <v>285600</v>
      </c>
      <c r="F29" s="4" t="s">
        <v>588</v>
      </c>
      <c r="G29" s="5">
        <v>0.26074471156800028</v>
      </c>
      <c r="H29" s="5">
        <v>0</v>
      </c>
    </row>
    <row r="30" spans="1:8" x14ac:dyDescent="0.25">
      <c r="A30" s="4" t="s">
        <v>597</v>
      </c>
      <c r="B30" s="4" t="s">
        <v>587</v>
      </c>
      <c r="C30" s="4" t="s">
        <v>24</v>
      </c>
      <c r="D30" s="5">
        <v>12943.51630867144</v>
      </c>
      <c r="E30" s="5">
        <v>57120</v>
      </c>
      <c r="F30" s="4" t="s">
        <v>588</v>
      </c>
      <c r="G30" s="5">
        <v>0.22660217627225901</v>
      </c>
      <c r="H30" s="5">
        <v>0</v>
      </c>
    </row>
    <row r="31" spans="1:8" x14ac:dyDescent="0.25">
      <c r="A31" s="4" t="s">
        <v>600</v>
      </c>
      <c r="B31" s="4" t="s">
        <v>587</v>
      </c>
      <c r="C31" s="4" t="s">
        <v>33</v>
      </c>
      <c r="D31" s="5">
        <v>3068.53051483123</v>
      </c>
      <c r="E31" s="5">
        <v>14280</v>
      </c>
      <c r="F31" s="4" t="s">
        <v>588</v>
      </c>
      <c r="G31" s="5">
        <v>0.2148830892738956</v>
      </c>
      <c r="H31" s="5">
        <v>0</v>
      </c>
    </row>
    <row r="32" spans="1:8" x14ac:dyDescent="0.25">
      <c r="A32" s="4" t="s">
        <v>601</v>
      </c>
      <c r="B32" s="4" t="s">
        <v>587</v>
      </c>
      <c r="C32" s="4" t="s">
        <v>25</v>
      </c>
      <c r="D32" s="5">
        <v>2784.4073190135241</v>
      </c>
      <c r="E32" s="5">
        <v>14280</v>
      </c>
      <c r="F32" s="4" t="s">
        <v>588</v>
      </c>
      <c r="G32" s="5">
        <v>0.19498650693372011</v>
      </c>
      <c r="H32" s="5">
        <v>0</v>
      </c>
    </row>
    <row r="33" spans="1:8" x14ac:dyDescent="0.25">
      <c r="A33" s="4" t="s">
        <v>602</v>
      </c>
      <c r="B33" s="4" t="s">
        <v>587</v>
      </c>
      <c r="C33" s="4" t="s">
        <v>29</v>
      </c>
      <c r="D33" s="5">
        <v>22275.258552108189</v>
      </c>
      <c r="E33" s="5">
        <v>135660</v>
      </c>
      <c r="F33" s="4" t="s">
        <v>588</v>
      </c>
      <c r="G33" s="5">
        <v>0.164199163733659</v>
      </c>
      <c r="H33" s="5">
        <v>0</v>
      </c>
    </row>
    <row r="34" spans="1:8" x14ac:dyDescent="0.25">
      <c r="A34" s="4" t="s">
        <v>603</v>
      </c>
      <c r="B34" s="4" t="s">
        <v>587</v>
      </c>
      <c r="C34" s="4" t="s">
        <v>23</v>
      </c>
      <c r="D34" s="5">
        <v>9069.2124105011935</v>
      </c>
      <c r="E34" s="5">
        <v>57120</v>
      </c>
      <c r="F34" s="4" t="s">
        <v>588</v>
      </c>
      <c r="G34" s="5">
        <v>0.15877472707460069</v>
      </c>
      <c r="H34" s="5">
        <v>0</v>
      </c>
    </row>
    <row r="35" spans="1:8" x14ac:dyDescent="0.25">
      <c r="A35" s="4" t="s">
        <v>177</v>
      </c>
      <c r="B35" s="4" t="s">
        <v>177</v>
      </c>
      <c r="C35" s="4" t="s">
        <v>429</v>
      </c>
      <c r="D35" s="5">
        <v>1079923.243025868</v>
      </c>
      <c r="E35" s="5">
        <v>7140000</v>
      </c>
      <c r="F35" s="4" t="s">
        <v>534</v>
      </c>
      <c r="G35" s="5">
        <v>0.1512497539251916</v>
      </c>
      <c r="H35" s="5">
        <v>0</v>
      </c>
    </row>
    <row r="36" spans="1:8" x14ac:dyDescent="0.25">
      <c r="A36" s="4" t="s">
        <v>604</v>
      </c>
      <c r="B36" s="4" t="s">
        <v>587</v>
      </c>
      <c r="C36" s="4" t="s">
        <v>31</v>
      </c>
      <c r="D36" s="5">
        <v>1431.9809069212411</v>
      </c>
      <c r="E36" s="5">
        <v>14280</v>
      </c>
      <c r="F36" s="4" t="s">
        <v>588</v>
      </c>
      <c r="G36" s="5">
        <v>0.10027877499448461</v>
      </c>
      <c r="H36" s="5">
        <v>0</v>
      </c>
    </row>
  </sheetData>
  <phoneticPr fontId="4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33"/>
  <sheetViews>
    <sheetView workbookViewId="0">
      <pane ySplit="1" topLeftCell="A2" activePane="bottomLeft" state="frozen"/>
      <selection pane="bottomLeft" activeCell="I12" sqref="I12"/>
    </sheetView>
  </sheetViews>
  <sheetFormatPr defaultRowHeight="14" x14ac:dyDescent="0.25"/>
  <cols>
    <col min="1" max="1" width="14" customWidth="1"/>
    <col min="2" max="4" width="10" customWidth="1"/>
    <col min="5" max="5" width="11" customWidth="1"/>
    <col min="6" max="6" width="10" customWidth="1"/>
    <col min="7" max="7" width="13" customWidth="1"/>
    <col min="8" max="8" width="11" customWidth="1"/>
    <col min="9" max="10" width="20" customWidth="1"/>
    <col min="11" max="11" width="13" customWidth="1"/>
    <col min="12" max="12" width="14" customWidth="1"/>
    <col min="13" max="13" width="16" customWidth="1"/>
    <col min="14" max="14" width="13" customWidth="1"/>
    <col min="15" max="17" width="20" customWidth="1"/>
    <col min="18" max="18" width="21" customWidth="1"/>
    <col min="19" max="19" width="31" customWidth="1"/>
    <col min="20" max="21" width="32" customWidth="1"/>
    <col min="22" max="22" width="12" customWidth="1"/>
    <col min="23" max="23" width="13" customWidth="1"/>
  </cols>
  <sheetData>
    <row r="1" spans="1:23" ht="28" x14ac:dyDescent="0.25">
      <c r="A1" s="3" t="s">
        <v>612</v>
      </c>
      <c r="B1" s="3" t="s">
        <v>657</v>
      </c>
      <c r="C1" s="3" t="s">
        <v>365</v>
      </c>
      <c r="D1" s="3" t="s">
        <v>319</v>
      </c>
      <c r="E1" s="3" t="s">
        <v>658</v>
      </c>
      <c r="F1" s="3" t="s">
        <v>613</v>
      </c>
      <c r="G1" s="3" t="s">
        <v>173</v>
      </c>
      <c r="H1" s="3" t="s">
        <v>174</v>
      </c>
      <c r="I1" s="3" t="s">
        <v>659</v>
      </c>
      <c r="J1" s="3" t="s">
        <v>175</v>
      </c>
      <c r="K1" s="3" t="s">
        <v>176</v>
      </c>
      <c r="L1" s="3" t="s">
        <v>184</v>
      </c>
      <c r="M1" s="3" t="s">
        <v>180</v>
      </c>
      <c r="N1" s="3" t="s">
        <v>660</v>
      </c>
      <c r="O1" s="3" t="s">
        <v>614</v>
      </c>
      <c r="P1" s="3" t="s">
        <v>615</v>
      </c>
      <c r="Q1" s="3" t="s">
        <v>661</v>
      </c>
      <c r="R1" s="3" t="s">
        <v>616</v>
      </c>
      <c r="S1" s="3" t="s">
        <v>662</v>
      </c>
      <c r="T1" s="3" t="s">
        <v>663</v>
      </c>
      <c r="U1" s="3" t="s">
        <v>664</v>
      </c>
      <c r="V1" s="3" t="s">
        <v>617</v>
      </c>
      <c r="W1" s="3" t="s">
        <v>183</v>
      </c>
    </row>
    <row r="2" spans="1:23" ht="28" x14ac:dyDescent="0.25">
      <c r="A2" s="4" t="s">
        <v>618</v>
      </c>
      <c r="B2" s="4">
        <v>0</v>
      </c>
      <c r="C2" s="4" t="s">
        <v>368</v>
      </c>
      <c r="D2" s="4" t="s">
        <v>333</v>
      </c>
      <c r="E2" s="4" t="s">
        <v>39</v>
      </c>
      <c r="F2" s="4" t="s">
        <v>40</v>
      </c>
      <c r="G2" s="4" t="s">
        <v>143</v>
      </c>
      <c r="H2" s="4" t="s">
        <v>41</v>
      </c>
      <c r="I2" s="5">
        <v>417661.09785202862</v>
      </c>
      <c r="J2" s="4" t="s">
        <v>275</v>
      </c>
      <c r="K2" s="4" t="s">
        <v>276</v>
      </c>
      <c r="L2" s="4">
        <v>2</v>
      </c>
      <c r="M2" s="5">
        <v>150</v>
      </c>
      <c r="N2" s="4">
        <v>2</v>
      </c>
      <c r="O2" s="5">
        <v>2784.4073190135241</v>
      </c>
      <c r="P2" s="5">
        <v>5568.8146380270473</v>
      </c>
      <c r="Q2" s="5">
        <v>0</v>
      </c>
      <c r="R2" s="5">
        <v>2784.4073190135241</v>
      </c>
      <c r="S2" s="4" t="s">
        <v>277</v>
      </c>
      <c r="T2" s="4" t="s">
        <v>665</v>
      </c>
      <c r="U2" s="4" t="s">
        <v>665</v>
      </c>
      <c r="V2" s="4" t="b">
        <v>0</v>
      </c>
      <c r="W2" s="4" t="s">
        <v>278</v>
      </c>
    </row>
    <row r="3" spans="1:23" ht="42" x14ac:dyDescent="0.25">
      <c r="A3" s="4" t="s">
        <v>666</v>
      </c>
      <c r="B3" s="4">
        <v>1</v>
      </c>
      <c r="C3" s="4" t="s">
        <v>369</v>
      </c>
      <c r="D3" s="4" t="s">
        <v>333</v>
      </c>
      <c r="E3" s="4" t="s">
        <v>39</v>
      </c>
      <c r="F3" s="4" t="s">
        <v>40</v>
      </c>
      <c r="G3" s="4" t="s">
        <v>143</v>
      </c>
      <c r="H3" s="4" t="s">
        <v>47</v>
      </c>
      <c r="I3" s="5">
        <v>417661.09785202862</v>
      </c>
      <c r="J3" s="4" t="s">
        <v>285</v>
      </c>
      <c r="K3" s="4" t="s">
        <v>286</v>
      </c>
      <c r="L3" s="4">
        <v>2</v>
      </c>
      <c r="M3" s="5">
        <v>150</v>
      </c>
      <c r="N3" s="4">
        <v>7</v>
      </c>
      <c r="O3" s="5">
        <v>2784.4073190135241</v>
      </c>
      <c r="P3" s="5">
        <v>19490.851233094669</v>
      </c>
      <c r="Q3" s="5">
        <v>2784.4073190135241</v>
      </c>
      <c r="R3" s="5">
        <v>13922.036595067621</v>
      </c>
      <c r="S3" s="4" t="s">
        <v>287</v>
      </c>
      <c r="T3" s="4" t="s">
        <v>667</v>
      </c>
      <c r="U3" s="4" t="s">
        <v>668</v>
      </c>
      <c r="V3" s="4" t="b">
        <v>0</v>
      </c>
      <c r="W3" s="4" t="s">
        <v>288</v>
      </c>
    </row>
    <row r="4" spans="1:23" ht="28" x14ac:dyDescent="0.25">
      <c r="A4" s="4" t="s">
        <v>620</v>
      </c>
      <c r="B4" s="4">
        <v>2</v>
      </c>
      <c r="C4" s="4" t="s">
        <v>370</v>
      </c>
      <c r="D4" s="4" t="s">
        <v>334</v>
      </c>
      <c r="E4" s="4" t="s">
        <v>39</v>
      </c>
      <c r="F4" s="4" t="s">
        <v>49</v>
      </c>
      <c r="G4" s="4" t="s">
        <v>49</v>
      </c>
      <c r="H4" s="4" t="s">
        <v>41</v>
      </c>
      <c r="I4" s="5">
        <v>644391.40811455844</v>
      </c>
      <c r="J4" s="4" t="s">
        <v>209</v>
      </c>
      <c r="K4" s="4" t="s">
        <v>210</v>
      </c>
      <c r="L4" s="4">
        <v>1</v>
      </c>
      <c r="M4" s="5">
        <v>100</v>
      </c>
      <c r="N4" s="4">
        <v>3</v>
      </c>
      <c r="O4" s="5">
        <v>6443.9140811455854</v>
      </c>
      <c r="P4" s="5">
        <v>19331.742243436751</v>
      </c>
      <c r="Q4" s="5">
        <v>0</v>
      </c>
      <c r="R4" s="5">
        <v>6443.9140811455854</v>
      </c>
      <c r="S4" s="4" t="s">
        <v>211</v>
      </c>
      <c r="T4" s="4" t="s">
        <v>669</v>
      </c>
      <c r="U4" s="4" t="s">
        <v>670</v>
      </c>
      <c r="V4" s="4" t="b">
        <v>1</v>
      </c>
      <c r="W4" s="5"/>
    </row>
    <row r="5" spans="1:23" ht="42" x14ac:dyDescent="0.25">
      <c r="A5" s="4" t="s">
        <v>621</v>
      </c>
      <c r="B5" s="4">
        <v>3</v>
      </c>
      <c r="C5" s="4" t="s">
        <v>371</v>
      </c>
      <c r="D5" s="4" t="s">
        <v>334</v>
      </c>
      <c r="E5" s="4" t="s">
        <v>39</v>
      </c>
      <c r="F5" s="4" t="s">
        <v>49</v>
      </c>
      <c r="G5" s="4" t="s">
        <v>49</v>
      </c>
      <c r="H5" s="4" t="s">
        <v>47</v>
      </c>
      <c r="I5" s="5">
        <v>644391.40811455844</v>
      </c>
      <c r="J5" s="4" t="s">
        <v>218</v>
      </c>
      <c r="K5" s="4" t="s">
        <v>201</v>
      </c>
      <c r="L5" s="4">
        <v>1</v>
      </c>
      <c r="M5" s="5">
        <v>80</v>
      </c>
      <c r="N5" s="4">
        <v>9</v>
      </c>
      <c r="O5" s="5">
        <v>8054.8926014319804</v>
      </c>
      <c r="P5" s="5">
        <v>72494.033412887831</v>
      </c>
      <c r="Q5" s="5">
        <v>8054.8926014319804</v>
      </c>
      <c r="R5" s="5">
        <v>32219.570405727922</v>
      </c>
      <c r="S5" s="4" t="s">
        <v>202</v>
      </c>
      <c r="T5" s="4" t="s">
        <v>671</v>
      </c>
      <c r="U5" s="4" t="s">
        <v>672</v>
      </c>
      <c r="V5" s="4" t="b">
        <v>1</v>
      </c>
      <c r="W5" s="4" t="s">
        <v>219</v>
      </c>
    </row>
    <row r="6" spans="1:23" x14ac:dyDescent="0.25">
      <c r="A6" s="4" t="s">
        <v>622</v>
      </c>
      <c r="B6" s="4">
        <v>4</v>
      </c>
      <c r="C6" s="4" t="s">
        <v>372</v>
      </c>
      <c r="D6" s="4" t="s">
        <v>337</v>
      </c>
      <c r="E6" s="4" t="s">
        <v>39</v>
      </c>
      <c r="F6" s="4" t="s">
        <v>49</v>
      </c>
      <c r="G6" s="4" t="s">
        <v>49</v>
      </c>
      <c r="H6" s="4" t="s">
        <v>41</v>
      </c>
      <c r="I6" s="5">
        <v>429594.27207637241</v>
      </c>
      <c r="J6" s="4" t="s">
        <v>215</v>
      </c>
      <c r="K6" s="4" t="s">
        <v>216</v>
      </c>
      <c r="L6" s="4">
        <v>2</v>
      </c>
      <c r="M6" s="5">
        <v>50</v>
      </c>
      <c r="N6" s="4">
        <v>6</v>
      </c>
      <c r="O6" s="5">
        <v>8591.8854415274473</v>
      </c>
      <c r="P6" s="5">
        <v>51551.312649164684</v>
      </c>
      <c r="Q6" s="5">
        <v>0</v>
      </c>
      <c r="R6" s="5">
        <v>8591.8854415274473</v>
      </c>
      <c r="S6" s="4" t="s">
        <v>217</v>
      </c>
      <c r="T6" s="4" t="s">
        <v>673</v>
      </c>
      <c r="U6" s="4" t="s">
        <v>673</v>
      </c>
      <c r="V6" s="4" t="b">
        <v>1</v>
      </c>
      <c r="W6" s="5"/>
    </row>
    <row r="7" spans="1:23" ht="42" x14ac:dyDescent="0.25">
      <c r="A7" s="4" t="s">
        <v>623</v>
      </c>
      <c r="B7" s="4">
        <v>5</v>
      </c>
      <c r="C7" s="4" t="s">
        <v>373</v>
      </c>
      <c r="D7" s="4" t="s">
        <v>337</v>
      </c>
      <c r="E7" s="4" t="s">
        <v>39</v>
      </c>
      <c r="F7" s="4" t="s">
        <v>49</v>
      </c>
      <c r="G7" s="4" t="s">
        <v>49</v>
      </c>
      <c r="H7" s="4" t="s">
        <v>47</v>
      </c>
      <c r="I7" s="5">
        <v>429594.27207637241</v>
      </c>
      <c r="J7" s="4" t="s">
        <v>218</v>
      </c>
      <c r="K7" s="4" t="s">
        <v>201</v>
      </c>
      <c r="L7" s="4">
        <v>1</v>
      </c>
      <c r="M7" s="5">
        <v>80</v>
      </c>
      <c r="N7" s="4">
        <v>9</v>
      </c>
      <c r="O7" s="5">
        <v>5369.9284009546554</v>
      </c>
      <c r="P7" s="5">
        <v>48329.35560859189</v>
      </c>
      <c r="Q7" s="5">
        <v>5369.9284009546554</v>
      </c>
      <c r="R7" s="5">
        <v>21479.713603818611</v>
      </c>
      <c r="S7" s="4" t="s">
        <v>202</v>
      </c>
      <c r="T7" s="4" t="s">
        <v>674</v>
      </c>
      <c r="U7" s="4" t="s">
        <v>675</v>
      </c>
      <c r="V7" s="4" t="b">
        <v>1</v>
      </c>
      <c r="W7" s="4" t="s">
        <v>219</v>
      </c>
    </row>
    <row r="8" spans="1:23" x14ac:dyDescent="0.25">
      <c r="A8" s="4" t="s">
        <v>624</v>
      </c>
      <c r="B8" s="4">
        <v>6</v>
      </c>
      <c r="C8" s="4" t="s">
        <v>374</v>
      </c>
      <c r="D8" s="4" t="s">
        <v>340</v>
      </c>
      <c r="E8" s="4" t="s">
        <v>39</v>
      </c>
      <c r="F8" s="4" t="s">
        <v>64</v>
      </c>
      <c r="G8" s="4" t="s">
        <v>64</v>
      </c>
      <c r="H8" s="4" t="s">
        <v>65</v>
      </c>
      <c r="I8" s="5">
        <v>178997.61336515509</v>
      </c>
      <c r="J8" s="4" t="s">
        <v>223</v>
      </c>
      <c r="K8" s="4" t="s">
        <v>30</v>
      </c>
      <c r="L8" s="4">
        <v>1</v>
      </c>
      <c r="M8" s="5">
        <v>35</v>
      </c>
      <c r="N8" s="4">
        <v>8</v>
      </c>
      <c r="O8" s="5">
        <v>5114.217524718717</v>
      </c>
      <c r="P8" s="5">
        <v>40913.740197749743</v>
      </c>
      <c r="Q8" s="5">
        <v>0</v>
      </c>
      <c r="R8" s="5">
        <v>5114.217524718717</v>
      </c>
      <c r="S8" s="4" t="s">
        <v>224</v>
      </c>
      <c r="T8" s="4" t="s">
        <v>676</v>
      </c>
      <c r="U8" s="4" t="s">
        <v>676</v>
      </c>
      <c r="V8" s="4" t="b">
        <v>1</v>
      </c>
      <c r="W8" s="5"/>
    </row>
    <row r="9" spans="1:23" ht="28" x14ac:dyDescent="0.25">
      <c r="A9" s="4" t="s">
        <v>625</v>
      </c>
      <c r="B9" s="4">
        <v>7</v>
      </c>
      <c r="C9" s="4" t="s">
        <v>375</v>
      </c>
      <c r="D9" s="4" t="s">
        <v>340</v>
      </c>
      <c r="E9" s="4" t="s">
        <v>39</v>
      </c>
      <c r="F9" s="4" t="s">
        <v>64</v>
      </c>
      <c r="G9" s="4" t="s">
        <v>64</v>
      </c>
      <c r="H9" s="4" t="s">
        <v>71</v>
      </c>
      <c r="I9" s="5">
        <v>178997.61336515509</v>
      </c>
      <c r="J9" s="4" t="s">
        <v>229</v>
      </c>
      <c r="K9" s="4" t="s">
        <v>230</v>
      </c>
      <c r="L9" s="4">
        <v>2</v>
      </c>
      <c r="M9" s="5">
        <v>35</v>
      </c>
      <c r="N9" s="4">
        <v>18</v>
      </c>
      <c r="O9" s="5">
        <v>5114.217524718717</v>
      </c>
      <c r="P9" s="5">
        <v>92055.915444936923</v>
      </c>
      <c r="Q9" s="5">
        <v>5114.217524718717</v>
      </c>
      <c r="R9" s="5">
        <v>10228.43504943743</v>
      </c>
      <c r="S9" s="4" t="s">
        <v>231</v>
      </c>
      <c r="T9" s="4" t="s">
        <v>677</v>
      </c>
      <c r="U9" s="4" t="s">
        <v>677</v>
      </c>
      <c r="V9" s="4" t="b">
        <v>0</v>
      </c>
      <c r="W9" s="4" t="s">
        <v>232</v>
      </c>
    </row>
    <row r="10" spans="1:23" x14ac:dyDescent="0.25">
      <c r="A10" s="4" t="s">
        <v>626</v>
      </c>
      <c r="B10" s="4">
        <v>8</v>
      </c>
      <c r="C10" s="4" t="s">
        <v>376</v>
      </c>
      <c r="D10" s="4" t="s">
        <v>341</v>
      </c>
      <c r="E10" s="4" t="s">
        <v>39</v>
      </c>
      <c r="F10" s="4" t="s">
        <v>76</v>
      </c>
      <c r="G10" s="4" t="s">
        <v>76</v>
      </c>
      <c r="H10" s="4" t="s">
        <v>41</v>
      </c>
      <c r="I10" s="5">
        <v>226730.31026252979</v>
      </c>
      <c r="J10" s="4" t="s">
        <v>233</v>
      </c>
      <c r="K10" s="4" t="s">
        <v>28</v>
      </c>
      <c r="L10" s="4">
        <v>1</v>
      </c>
      <c r="M10" s="5">
        <v>60</v>
      </c>
      <c r="N10" s="4">
        <v>4</v>
      </c>
      <c r="O10" s="5">
        <v>3778.838504375497</v>
      </c>
      <c r="P10" s="5">
        <v>15115.35401750199</v>
      </c>
      <c r="Q10" s="5">
        <v>0</v>
      </c>
      <c r="R10" s="5">
        <v>3778.838504375497</v>
      </c>
      <c r="S10" s="4" t="s">
        <v>217</v>
      </c>
      <c r="T10" s="4" t="s">
        <v>678</v>
      </c>
      <c r="U10" s="4" t="s">
        <v>678</v>
      </c>
      <c r="V10" s="4" t="b">
        <v>1</v>
      </c>
      <c r="W10" s="5"/>
    </row>
    <row r="11" spans="1:23" ht="28" x14ac:dyDescent="0.25">
      <c r="A11" s="4" t="s">
        <v>627</v>
      </c>
      <c r="B11" s="4">
        <v>9</v>
      </c>
      <c r="C11" s="4" t="s">
        <v>377</v>
      </c>
      <c r="D11" s="4" t="s">
        <v>341</v>
      </c>
      <c r="E11" s="4" t="s">
        <v>39</v>
      </c>
      <c r="F11" s="4" t="s">
        <v>76</v>
      </c>
      <c r="G11" s="4" t="s">
        <v>76</v>
      </c>
      <c r="H11" s="4" t="s">
        <v>47</v>
      </c>
      <c r="I11" s="5">
        <v>226730.31026252979</v>
      </c>
      <c r="J11" s="4" t="s">
        <v>234</v>
      </c>
      <c r="K11" s="4" t="s">
        <v>235</v>
      </c>
      <c r="L11" s="4">
        <v>2</v>
      </c>
      <c r="M11" s="5">
        <v>50</v>
      </c>
      <c r="N11" s="4">
        <v>9</v>
      </c>
      <c r="O11" s="5">
        <v>4534.6062052505968</v>
      </c>
      <c r="P11" s="5">
        <v>40811.455847255369</v>
      </c>
      <c r="Q11" s="5">
        <v>4534.6062052505968</v>
      </c>
      <c r="R11" s="5">
        <v>13603.81861575179</v>
      </c>
      <c r="S11" s="4" t="s">
        <v>236</v>
      </c>
      <c r="T11" s="4" t="s">
        <v>679</v>
      </c>
      <c r="U11" s="4" t="s">
        <v>680</v>
      </c>
      <c r="V11" s="4" t="b">
        <v>0</v>
      </c>
      <c r="W11" s="4" t="s">
        <v>237</v>
      </c>
    </row>
    <row r="12" spans="1:23" x14ac:dyDescent="0.25">
      <c r="A12" s="4" t="s">
        <v>628</v>
      </c>
      <c r="B12" s="4">
        <v>10</v>
      </c>
      <c r="C12" s="4" t="s">
        <v>378</v>
      </c>
      <c r="D12" s="4" t="s">
        <v>342</v>
      </c>
      <c r="E12" s="4" t="s">
        <v>83</v>
      </c>
      <c r="F12" s="4" t="s">
        <v>84</v>
      </c>
      <c r="G12" s="4" t="s">
        <v>84</v>
      </c>
      <c r="H12" s="4" t="s">
        <v>85</v>
      </c>
      <c r="I12" s="5">
        <v>28639.618138424819</v>
      </c>
      <c r="J12" s="4" t="s">
        <v>241</v>
      </c>
      <c r="K12" s="4" t="s">
        <v>242</v>
      </c>
      <c r="L12" s="4">
        <v>2</v>
      </c>
      <c r="M12" s="5">
        <v>25</v>
      </c>
      <c r="N12" s="4">
        <v>15</v>
      </c>
      <c r="O12" s="5">
        <v>1145.5847255369929</v>
      </c>
      <c r="P12" s="5">
        <v>17183.770883054891</v>
      </c>
      <c r="Q12" s="5">
        <v>1145.5847255369929</v>
      </c>
      <c r="R12" s="5">
        <v>0</v>
      </c>
      <c r="S12" s="4" t="s">
        <v>189</v>
      </c>
      <c r="T12" s="4" t="s">
        <v>189</v>
      </c>
      <c r="U12" s="4" t="s">
        <v>189</v>
      </c>
      <c r="V12" s="4" t="b">
        <v>0</v>
      </c>
      <c r="W12" s="5"/>
    </row>
    <row r="13" spans="1:23" ht="28" x14ac:dyDescent="0.25">
      <c r="A13" s="4" t="s">
        <v>629</v>
      </c>
      <c r="B13" s="4">
        <v>11</v>
      </c>
      <c r="C13" s="4" t="s">
        <v>379</v>
      </c>
      <c r="D13" s="4" t="s">
        <v>343</v>
      </c>
      <c r="E13" s="4" t="s">
        <v>83</v>
      </c>
      <c r="F13" s="4" t="s">
        <v>89</v>
      </c>
      <c r="G13" s="4" t="s">
        <v>89</v>
      </c>
      <c r="H13" s="4" t="s">
        <v>85</v>
      </c>
      <c r="I13" s="5">
        <v>214797.13603818609</v>
      </c>
      <c r="J13" s="4" t="s">
        <v>243</v>
      </c>
      <c r="K13" s="4" t="s">
        <v>244</v>
      </c>
      <c r="L13" s="4">
        <v>1</v>
      </c>
      <c r="M13" s="5">
        <v>65</v>
      </c>
      <c r="N13" s="4">
        <v>5</v>
      </c>
      <c r="O13" s="5">
        <v>3304.5713236644019</v>
      </c>
      <c r="P13" s="5">
        <v>16522.85661832201</v>
      </c>
      <c r="Q13" s="5">
        <v>3304.5713236644019</v>
      </c>
      <c r="R13" s="5">
        <v>3304.5713236644019</v>
      </c>
      <c r="S13" s="4" t="s">
        <v>192</v>
      </c>
      <c r="T13" s="4" t="s">
        <v>681</v>
      </c>
      <c r="U13" s="4" t="s">
        <v>682</v>
      </c>
      <c r="V13" s="4" t="b">
        <v>1</v>
      </c>
      <c r="W13" s="5"/>
    </row>
    <row r="14" spans="1:23" ht="28" x14ac:dyDescent="0.25">
      <c r="A14" s="4" t="s">
        <v>630</v>
      </c>
      <c r="B14" s="4">
        <v>12</v>
      </c>
      <c r="C14" s="4" t="s">
        <v>380</v>
      </c>
      <c r="D14" s="4" t="s">
        <v>344</v>
      </c>
      <c r="E14" s="4" t="s">
        <v>83</v>
      </c>
      <c r="F14" s="4" t="s">
        <v>89</v>
      </c>
      <c r="G14" s="4" t="s">
        <v>89</v>
      </c>
      <c r="H14" s="4" t="s">
        <v>94</v>
      </c>
      <c r="I14" s="5">
        <v>214797.13603818609</v>
      </c>
      <c r="J14" s="4" t="s">
        <v>245</v>
      </c>
      <c r="K14" s="4" t="s">
        <v>244</v>
      </c>
      <c r="L14" s="4">
        <v>1</v>
      </c>
      <c r="M14" s="5">
        <v>70</v>
      </c>
      <c r="N14" s="4">
        <v>5</v>
      </c>
      <c r="O14" s="5">
        <v>3068.53051483123</v>
      </c>
      <c r="P14" s="5">
        <v>15342.652574156151</v>
      </c>
      <c r="Q14" s="5">
        <v>3068.53051483123</v>
      </c>
      <c r="R14" s="5">
        <v>6137.0610296624609</v>
      </c>
      <c r="S14" s="4" t="s">
        <v>683</v>
      </c>
      <c r="T14" s="4" t="s">
        <v>684</v>
      </c>
      <c r="U14" s="4" t="s">
        <v>685</v>
      </c>
      <c r="V14" s="4" t="b">
        <v>1</v>
      </c>
      <c r="W14" s="4" t="s">
        <v>248</v>
      </c>
    </row>
    <row r="15" spans="1:23" x14ac:dyDescent="0.25">
      <c r="A15" s="4" t="s">
        <v>631</v>
      </c>
      <c r="B15" s="4">
        <v>13</v>
      </c>
      <c r="C15" s="4" t="s">
        <v>381</v>
      </c>
      <c r="D15" s="4" t="s">
        <v>344</v>
      </c>
      <c r="E15" s="4" t="s">
        <v>83</v>
      </c>
      <c r="F15" s="4" t="s">
        <v>89</v>
      </c>
      <c r="G15" s="4" t="s">
        <v>89</v>
      </c>
      <c r="H15" s="4" t="s">
        <v>98</v>
      </c>
      <c r="I15" s="5">
        <v>214797.13603818609</v>
      </c>
      <c r="J15" s="4" t="s">
        <v>249</v>
      </c>
      <c r="K15" s="4" t="s">
        <v>31</v>
      </c>
      <c r="L15" s="4">
        <v>1</v>
      </c>
      <c r="M15" s="5">
        <v>150</v>
      </c>
      <c r="N15" s="4">
        <v>2</v>
      </c>
      <c r="O15" s="5">
        <v>1431.9809069212411</v>
      </c>
      <c r="P15" s="5">
        <v>2863.9618138424821</v>
      </c>
      <c r="Q15" s="5">
        <v>0</v>
      </c>
      <c r="R15" s="5">
        <v>1431.9809069212411</v>
      </c>
      <c r="S15" s="4" t="s">
        <v>250</v>
      </c>
      <c r="T15" s="4" t="s">
        <v>686</v>
      </c>
      <c r="U15" s="4" t="s">
        <v>686</v>
      </c>
      <c r="V15" s="4" t="b">
        <v>1</v>
      </c>
      <c r="W15" s="5"/>
    </row>
    <row r="16" spans="1:23" x14ac:dyDescent="0.25">
      <c r="A16" s="4" t="s">
        <v>632</v>
      </c>
      <c r="B16" s="4">
        <v>14</v>
      </c>
      <c r="C16" s="4" t="s">
        <v>382</v>
      </c>
      <c r="D16" s="4" t="s">
        <v>347</v>
      </c>
      <c r="E16" s="4" t="s">
        <v>83</v>
      </c>
      <c r="F16" s="4" t="s">
        <v>40</v>
      </c>
      <c r="G16" s="4" t="s">
        <v>40</v>
      </c>
      <c r="H16" s="4" t="s">
        <v>85</v>
      </c>
      <c r="I16" s="5">
        <v>31026.252983293562</v>
      </c>
      <c r="J16" s="4" t="s">
        <v>264</v>
      </c>
      <c r="K16" s="4" t="s">
        <v>191</v>
      </c>
      <c r="L16" s="4">
        <v>1</v>
      </c>
      <c r="M16" s="5">
        <v>25</v>
      </c>
      <c r="N16" s="4">
        <v>13</v>
      </c>
      <c r="O16" s="5">
        <v>1241.050119331743</v>
      </c>
      <c r="P16" s="5">
        <v>16133.651551312651</v>
      </c>
      <c r="Q16" s="5">
        <v>1241.050119331743</v>
      </c>
      <c r="R16" s="5">
        <v>1241.050119331743</v>
      </c>
      <c r="S16" s="4" t="s">
        <v>192</v>
      </c>
      <c r="T16" s="4" t="s">
        <v>687</v>
      </c>
      <c r="U16" s="4" t="s">
        <v>688</v>
      </c>
      <c r="V16" s="4" t="b">
        <v>1</v>
      </c>
      <c r="W16" s="5"/>
    </row>
    <row r="17" spans="1:23" ht="42" x14ac:dyDescent="0.25">
      <c r="A17" s="4" t="s">
        <v>633</v>
      </c>
      <c r="B17" s="4">
        <v>15</v>
      </c>
      <c r="C17" s="4" t="s">
        <v>383</v>
      </c>
      <c r="D17" s="4" t="s">
        <v>349</v>
      </c>
      <c r="E17" s="4" t="s">
        <v>83</v>
      </c>
      <c r="F17" s="4" t="s">
        <v>40</v>
      </c>
      <c r="G17" s="4" t="s">
        <v>40</v>
      </c>
      <c r="H17" s="4" t="s">
        <v>106</v>
      </c>
      <c r="I17" s="5">
        <v>93078.758949880677</v>
      </c>
      <c r="J17" s="4" t="s">
        <v>265</v>
      </c>
      <c r="K17" s="4" t="s">
        <v>266</v>
      </c>
      <c r="L17" s="4">
        <v>1</v>
      </c>
      <c r="M17" s="5">
        <v>35</v>
      </c>
      <c r="N17" s="4">
        <v>13</v>
      </c>
      <c r="O17" s="5">
        <v>2659.3931128537338</v>
      </c>
      <c r="P17" s="5">
        <v>34572.110467098537</v>
      </c>
      <c r="Q17" s="5">
        <v>2659.3931128537338</v>
      </c>
      <c r="R17" s="5">
        <v>10637.572451414941</v>
      </c>
      <c r="S17" s="4" t="s">
        <v>689</v>
      </c>
      <c r="T17" s="4" t="s">
        <v>690</v>
      </c>
      <c r="U17" s="4" t="s">
        <v>691</v>
      </c>
      <c r="V17" s="4" t="b">
        <v>1</v>
      </c>
      <c r="W17" s="4" t="s">
        <v>239</v>
      </c>
    </row>
    <row r="18" spans="1:23" x14ac:dyDescent="0.25">
      <c r="A18" s="4" t="s">
        <v>634</v>
      </c>
      <c r="B18" s="4">
        <v>16</v>
      </c>
      <c r="C18" s="4" t="s">
        <v>384</v>
      </c>
      <c r="D18" s="4" t="s">
        <v>349</v>
      </c>
      <c r="E18" s="4" t="s">
        <v>83</v>
      </c>
      <c r="F18" s="4" t="s">
        <v>40</v>
      </c>
      <c r="G18" s="4" t="s">
        <v>40</v>
      </c>
      <c r="H18" s="4" t="s">
        <v>110</v>
      </c>
      <c r="I18" s="5">
        <v>93078.758949880677</v>
      </c>
      <c r="J18" s="4" t="s">
        <v>268</v>
      </c>
      <c r="K18" s="4" t="s">
        <v>30</v>
      </c>
      <c r="L18" s="4">
        <v>1</v>
      </c>
      <c r="M18" s="5">
        <v>25</v>
      </c>
      <c r="N18" s="4">
        <v>6</v>
      </c>
      <c r="O18" s="5">
        <v>3723.1503579952268</v>
      </c>
      <c r="P18" s="5">
        <v>22338.902147971359</v>
      </c>
      <c r="Q18" s="5">
        <v>0</v>
      </c>
      <c r="R18" s="5">
        <v>3723.1503579952268</v>
      </c>
      <c r="S18" s="4" t="s">
        <v>224</v>
      </c>
      <c r="T18" s="4" t="s">
        <v>692</v>
      </c>
      <c r="U18" s="4" t="s">
        <v>692</v>
      </c>
      <c r="V18" s="4" t="b">
        <v>1</v>
      </c>
      <c r="W18" s="5"/>
    </row>
    <row r="19" spans="1:23" x14ac:dyDescent="0.25">
      <c r="A19" s="4" t="s">
        <v>635</v>
      </c>
      <c r="B19" s="4">
        <v>17</v>
      </c>
      <c r="C19" s="4" t="s">
        <v>385</v>
      </c>
      <c r="D19" s="4" t="s">
        <v>351</v>
      </c>
      <c r="E19" s="4" t="s">
        <v>113</v>
      </c>
      <c r="F19" s="4" t="s">
        <v>114</v>
      </c>
      <c r="G19" s="4" t="s">
        <v>114</v>
      </c>
      <c r="H19" s="4" t="s">
        <v>115</v>
      </c>
      <c r="I19" s="5">
        <v>57279.236276849631</v>
      </c>
      <c r="J19" s="4" t="s">
        <v>253</v>
      </c>
      <c r="K19" s="4" t="s">
        <v>191</v>
      </c>
      <c r="L19" s="4">
        <v>1</v>
      </c>
      <c r="M19" s="5">
        <v>50</v>
      </c>
      <c r="N19" s="4">
        <v>13</v>
      </c>
      <c r="O19" s="5">
        <v>1145.5847255369929</v>
      </c>
      <c r="P19" s="5">
        <v>14892.6014319809</v>
      </c>
      <c r="Q19" s="5">
        <v>1145.5847255369929</v>
      </c>
      <c r="R19" s="5">
        <v>1145.5847255369929</v>
      </c>
      <c r="S19" s="4" t="s">
        <v>192</v>
      </c>
      <c r="T19" s="4" t="s">
        <v>693</v>
      </c>
      <c r="U19" s="4" t="s">
        <v>694</v>
      </c>
      <c r="V19" s="4" t="b">
        <v>1</v>
      </c>
      <c r="W19" s="5"/>
    </row>
    <row r="20" spans="1:23" x14ac:dyDescent="0.25">
      <c r="A20" s="4" t="s">
        <v>636</v>
      </c>
      <c r="B20" s="4">
        <v>18</v>
      </c>
      <c r="C20" s="4" t="s">
        <v>386</v>
      </c>
      <c r="D20" s="4" t="s">
        <v>352</v>
      </c>
      <c r="E20" s="4" t="s">
        <v>113</v>
      </c>
      <c r="F20" s="4" t="s">
        <v>114</v>
      </c>
      <c r="G20" s="4" t="s">
        <v>114</v>
      </c>
      <c r="H20" s="4" t="s">
        <v>41</v>
      </c>
      <c r="I20" s="5">
        <v>57279.236276849631</v>
      </c>
      <c r="J20" s="4" t="s">
        <v>254</v>
      </c>
      <c r="K20" s="4" t="s">
        <v>22</v>
      </c>
      <c r="L20" s="4">
        <v>1</v>
      </c>
      <c r="M20" s="5">
        <v>70</v>
      </c>
      <c r="N20" s="4">
        <v>4</v>
      </c>
      <c r="O20" s="5">
        <v>818.2748039549947</v>
      </c>
      <c r="P20" s="5">
        <v>3273.0992158199788</v>
      </c>
      <c r="Q20" s="5">
        <v>0</v>
      </c>
      <c r="R20" s="5">
        <v>818.2748039549947</v>
      </c>
      <c r="S20" s="4" t="s">
        <v>255</v>
      </c>
      <c r="T20" s="4" t="s">
        <v>695</v>
      </c>
      <c r="U20" s="4" t="s">
        <v>696</v>
      </c>
      <c r="V20" s="4" t="b">
        <v>1</v>
      </c>
      <c r="W20" s="5"/>
    </row>
    <row r="21" spans="1:23" ht="42" x14ac:dyDescent="0.25">
      <c r="A21" s="4" t="s">
        <v>637</v>
      </c>
      <c r="B21" s="4">
        <v>19</v>
      </c>
      <c r="C21" s="4" t="s">
        <v>387</v>
      </c>
      <c r="D21" s="4" t="s">
        <v>352</v>
      </c>
      <c r="E21" s="4" t="s">
        <v>113</v>
      </c>
      <c r="F21" s="4" t="s">
        <v>114</v>
      </c>
      <c r="G21" s="4" t="s">
        <v>114</v>
      </c>
      <c r="H21" s="4" t="s">
        <v>47</v>
      </c>
      <c r="I21" s="5">
        <v>57279.236276849631</v>
      </c>
      <c r="J21" s="4" t="s">
        <v>256</v>
      </c>
      <c r="K21" s="4" t="s">
        <v>201</v>
      </c>
      <c r="L21" s="4">
        <v>1</v>
      </c>
      <c r="M21" s="5">
        <v>80</v>
      </c>
      <c r="N21" s="4">
        <v>15</v>
      </c>
      <c r="O21" s="5">
        <v>715.99045346062042</v>
      </c>
      <c r="P21" s="5">
        <v>10739.8568019093</v>
      </c>
      <c r="Q21" s="5">
        <v>715.99045346062042</v>
      </c>
      <c r="R21" s="5">
        <v>4295.9427207637227</v>
      </c>
      <c r="S21" s="4" t="s">
        <v>257</v>
      </c>
      <c r="T21" s="4" t="s">
        <v>697</v>
      </c>
      <c r="U21" s="4" t="s">
        <v>698</v>
      </c>
      <c r="V21" s="4" t="b">
        <v>1</v>
      </c>
      <c r="W21" s="4" t="s">
        <v>258</v>
      </c>
    </row>
    <row r="22" spans="1:23" x14ac:dyDescent="0.25">
      <c r="A22" s="4" t="s">
        <v>638</v>
      </c>
      <c r="B22" s="4">
        <v>20</v>
      </c>
      <c r="C22" s="4" t="s">
        <v>388</v>
      </c>
      <c r="D22" s="4" t="s">
        <v>354</v>
      </c>
      <c r="E22" s="4" t="s">
        <v>113</v>
      </c>
      <c r="F22" s="4" t="s">
        <v>118</v>
      </c>
      <c r="G22" s="4" t="s">
        <v>118</v>
      </c>
      <c r="H22" s="4" t="s">
        <v>65</v>
      </c>
      <c r="I22" s="5">
        <v>214797.13603818609</v>
      </c>
      <c r="J22" s="4" t="s">
        <v>259</v>
      </c>
      <c r="K22" s="4" t="s">
        <v>30</v>
      </c>
      <c r="L22" s="4">
        <v>1</v>
      </c>
      <c r="M22" s="5">
        <v>35</v>
      </c>
      <c r="N22" s="4">
        <v>8</v>
      </c>
      <c r="O22" s="5">
        <v>6137.0610296624609</v>
      </c>
      <c r="P22" s="5">
        <v>49096.488237299687</v>
      </c>
      <c r="Q22" s="5">
        <v>0</v>
      </c>
      <c r="R22" s="5">
        <v>6137.0610296624609</v>
      </c>
      <c r="S22" s="4" t="s">
        <v>224</v>
      </c>
      <c r="T22" s="4" t="s">
        <v>699</v>
      </c>
      <c r="U22" s="4" t="s">
        <v>699</v>
      </c>
      <c r="V22" s="4" t="b">
        <v>1</v>
      </c>
      <c r="W22" s="5"/>
    </row>
    <row r="23" spans="1:23" x14ac:dyDescent="0.25">
      <c r="A23" s="4" t="s">
        <v>639</v>
      </c>
      <c r="B23" s="4">
        <v>21</v>
      </c>
      <c r="C23" s="4" t="s">
        <v>389</v>
      </c>
      <c r="D23" s="4" t="s">
        <v>354</v>
      </c>
      <c r="E23" s="4" t="s">
        <v>113</v>
      </c>
      <c r="F23" s="4" t="s">
        <v>118</v>
      </c>
      <c r="G23" s="4" t="s">
        <v>118</v>
      </c>
      <c r="H23" s="4" t="s">
        <v>71</v>
      </c>
      <c r="I23" s="5">
        <v>214797.13603818609</v>
      </c>
      <c r="J23" s="4" t="s">
        <v>263</v>
      </c>
      <c r="K23" s="4" t="s">
        <v>242</v>
      </c>
      <c r="L23" s="4">
        <v>2</v>
      </c>
      <c r="M23" s="5">
        <v>40</v>
      </c>
      <c r="N23" s="4">
        <v>17</v>
      </c>
      <c r="O23" s="5">
        <v>5369.9284009546536</v>
      </c>
      <c r="P23" s="5">
        <v>91288.782816229126</v>
      </c>
      <c r="Q23" s="5">
        <v>5369.9284009546536</v>
      </c>
      <c r="R23" s="5">
        <v>0</v>
      </c>
      <c r="S23" s="4" t="s">
        <v>189</v>
      </c>
      <c r="T23" s="4" t="s">
        <v>189</v>
      </c>
      <c r="U23" s="4" t="s">
        <v>189</v>
      </c>
      <c r="V23" s="4" t="b">
        <v>0</v>
      </c>
      <c r="W23" s="5"/>
    </row>
    <row r="24" spans="1:23" ht="28" x14ac:dyDescent="0.25">
      <c r="A24" s="4" t="s">
        <v>640</v>
      </c>
      <c r="B24" s="4">
        <v>22</v>
      </c>
      <c r="C24" s="4" t="s">
        <v>390</v>
      </c>
      <c r="D24" s="4" t="s">
        <v>355</v>
      </c>
      <c r="E24" s="4" t="s">
        <v>113</v>
      </c>
      <c r="F24" s="4" t="s">
        <v>40</v>
      </c>
      <c r="G24" s="4" t="s">
        <v>143</v>
      </c>
      <c r="H24" s="4" t="s">
        <v>41</v>
      </c>
      <c r="I24" s="5">
        <v>317422.43436754169</v>
      </c>
      <c r="J24" s="4" t="s">
        <v>269</v>
      </c>
      <c r="K24" s="4" t="s">
        <v>270</v>
      </c>
      <c r="L24" s="4">
        <v>1</v>
      </c>
      <c r="M24" s="5">
        <v>200</v>
      </c>
      <c r="N24" s="4">
        <v>2</v>
      </c>
      <c r="O24" s="5">
        <v>1587.112171837709</v>
      </c>
      <c r="P24" s="5">
        <v>3174.224343675417</v>
      </c>
      <c r="Q24" s="5">
        <v>0</v>
      </c>
      <c r="R24" s="5">
        <v>1587.112171837709</v>
      </c>
      <c r="S24" s="4" t="s">
        <v>272</v>
      </c>
      <c r="T24" s="4" t="s">
        <v>700</v>
      </c>
      <c r="U24" s="4" t="s">
        <v>701</v>
      </c>
      <c r="V24" s="4" t="b">
        <v>1</v>
      </c>
      <c r="W24" s="4" t="s">
        <v>273</v>
      </c>
    </row>
    <row r="25" spans="1:23" ht="28" x14ac:dyDescent="0.25">
      <c r="A25" s="4" t="s">
        <v>702</v>
      </c>
      <c r="B25" s="4">
        <v>23</v>
      </c>
      <c r="C25" s="4" t="s">
        <v>391</v>
      </c>
      <c r="D25" s="4" t="s">
        <v>355</v>
      </c>
      <c r="E25" s="4" t="s">
        <v>113</v>
      </c>
      <c r="F25" s="4" t="s">
        <v>40</v>
      </c>
      <c r="G25" s="4" t="s">
        <v>143</v>
      </c>
      <c r="H25" s="4" t="s">
        <v>47</v>
      </c>
      <c r="I25" s="5">
        <v>317422.43436754169</v>
      </c>
      <c r="J25" s="4" t="s">
        <v>280</v>
      </c>
      <c r="K25" s="4" t="s">
        <v>281</v>
      </c>
      <c r="L25" s="4">
        <v>1</v>
      </c>
      <c r="M25" s="5">
        <v>200</v>
      </c>
      <c r="N25" s="4">
        <v>7</v>
      </c>
      <c r="O25" s="5">
        <v>1587.112171837709</v>
      </c>
      <c r="P25" s="5">
        <v>11109.785202863961</v>
      </c>
      <c r="Q25" s="5">
        <v>1587.112171837709</v>
      </c>
      <c r="R25" s="5">
        <v>4761.336515513126</v>
      </c>
      <c r="S25" s="4" t="s">
        <v>703</v>
      </c>
      <c r="T25" s="4" t="s">
        <v>704</v>
      </c>
      <c r="U25" s="4" t="s">
        <v>705</v>
      </c>
      <c r="V25" s="4" t="b">
        <v>1</v>
      </c>
      <c r="W25" s="4" t="s">
        <v>283</v>
      </c>
    </row>
    <row r="26" spans="1:23" x14ac:dyDescent="0.25">
      <c r="A26" s="4" t="s">
        <v>642</v>
      </c>
      <c r="B26" s="4">
        <v>24</v>
      </c>
      <c r="C26" s="4" t="s">
        <v>392</v>
      </c>
      <c r="D26" s="4" t="s">
        <v>356</v>
      </c>
      <c r="E26" s="4" t="s">
        <v>122</v>
      </c>
      <c r="F26" s="4" t="s">
        <v>123</v>
      </c>
      <c r="G26" s="4" t="s">
        <v>123</v>
      </c>
      <c r="H26" s="4" t="s">
        <v>124</v>
      </c>
      <c r="I26" s="5">
        <v>59665.871121718374</v>
      </c>
      <c r="J26" s="4" t="s">
        <v>304</v>
      </c>
      <c r="K26" s="4" t="s">
        <v>242</v>
      </c>
      <c r="L26" s="4">
        <v>2</v>
      </c>
      <c r="M26" s="5">
        <v>30</v>
      </c>
      <c r="N26" s="4">
        <v>17</v>
      </c>
      <c r="O26" s="5">
        <v>1988.862370723946</v>
      </c>
      <c r="P26" s="5">
        <v>33810.660302307071</v>
      </c>
      <c r="Q26" s="5">
        <v>1988.862370723946</v>
      </c>
      <c r="R26" s="5">
        <v>0</v>
      </c>
      <c r="S26" s="4" t="s">
        <v>189</v>
      </c>
      <c r="T26" s="4" t="s">
        <v>189</v>
      </c>
      <c r="U26" s="4" t="s">
        <v>189</v>
      </c>
      <c r="V26" s="4" t="b">
        <v>0</v>
      </c>
      <c r="W26" s="5"/>
    </row>
    <row r="27" spans="1:23" x14ac:dyDescent="0.25">
      <c r="A27" s="4" t="s">
        <v>643</v>
      </c>
      <c r="B27" s="4">
        <v>25</v>
      </c>
      <c r="C27" s="4" t="s">
        <v>393</v>
      </c>
      <c r="D27" s="4" t="s">
        <v>357</v>
      </c>
      <c r="E27" s="4" t="s">
        <v>122</v>
      </c>
      <c r="F27" s="4" t="s">
        <v>126</v>
      </c>
      <c r="G27" s="4" t="s">
        <v>126</v>
      </c>
      <c r="H27" s="4" t="s">
        <v>85</v>
      </c>
      <c r="I27" s="5">
        <v>429594.27207637217</v>
      </c>
      <c r="J27" s="4" t="s">
        <v>204</v>
      </c>
      <c r="K27" s="4" t="s">
        <v>191</v>
      </c>
      <c r="L27" s="4">
        <v>1</v>
      </c>
      <c r="M27" s="5">
        <v>40</v>
      </c>
      <c r="N27" s="4">
        <v>7</v>
      </c>
      <c r="O27" s="5">
        <v>10739.8568019093</v>
      </c>
      <c r="P27" s="5">
        <v>75178.997613365136</v>
      </c>
      <c r="Q27" s="5">
        <v>10739.8568019093</v>
      </c>
      <c r="R27" s="5">
        <v>10739.8568019093</v>
      </c>
      <c r="S27" s="4" t="s">
        <v>192</v>
      </c>
      <c r="T27" s="4" t="s">
        <v>706</v>
      </c>
      <c r="U27" s="4" t="s">
        <v>707</v>
      </c>
      <c r="V27" s="4" t="b">
        <v>1</v>
      </c>
      <c r="W27" s="5"/>
    </row>
    <row r="28" spans="1:23" ht="28" x14ac:dyDescent="0.25">
      <c r="A28" s="4" t="s">
        <v>644</v>
      </c>
      <c r="B28" s="4">
        <v>26</v>
      </c>
      <c r="C28" s="4" t="s">
        <v>394</v>
      </c>
      <c r="D28" s="4" t="s">
        <v>358</v>
      </c>
      <c r="E28" s="4" t="s">
        <v>122</v>
      </c>
      <c r="F28" s="4" t="s">
        <v>126</v>
      </c>
      <c r="G28" s="4" t="s">
        <v>126</v>
      </c>
      <c r="H28" s="4" t="s">
        <v>94</v>
      </c>
      <c r="I28" s="5">
        <v>1002386.634844868</v>
      </c>
      <c r="J28" s="4" t="s">
        <v>205</v>
      </c>
      <c r="K28" s="4" t="s">
        <v>206</v>
      </c>
      <c r="L28" s="4">
        <v>1</v>
      </c>
      <c r="M28" s="5">
        <v>50</v>
      </c>
      <c r="N28" s="4">
        <v>7</v>
      </c>
      <c r="O28" s="5">
        <v>20047.732696897368</v>
      </c>
      <c r="P28" s="5">
        <v>140334.1288782816</v>
      </c>
      <c r="Q28" s="5">
        <v>20047.732696897368</v>
      </c>
      <c r="R28" s="5">
        <v>60143.198090692109</v>
      </c>
      <c r="S28" s="4" t="s">
        <v>222</v>
      </c>
      <c r="T28" s="4" t="s">
        <v>708</v>
      </c>
      <c r="U28" s="4" t="s">
        <v>709</v>
      </c>
      <c r="V28" s="4" t="b">
        <v>1</v>
      </c>
      <c r="W28" s="4" t="s">
        <v>208</v>
      </c>
    </row>
    <row r="29" spans="1:23" ht="28" x14ac:dyDescent="0.25">
      <c r="A29" s="4" t="s">
        <v>645</v>
      </c>
      <c r="B29" s="4">
        <v>27</v>
      </c>
      <c r="C29" s="4" t="s">
        <v>395</v>
      </c>
      <c r="D29" s="4" t="s">
        <v>358</v>
      </c>
      <c r="E29" s="4" t="s">
        <v>122</v>
      </c>
      <c r="F29" s="4" t="s">
        <v>126</v>
      </c>
      <c r="G29" s="4" t="s">
        <v>126</v>
      </c>
      <c r="H29" s="4" t="s">
        <v>98</v>
      </c>
      <c r="I29" s="5">
        <v>1002386.634844868</v>
      </c>
      <c r="J29" s="4" t="s">
        <v>185</v>
      </c>
      <c r="K29" s="4" t="s">
        <v>186</v>
      </c>
      <c r="L29" s="4">
        <v>2</v>
      </c>
      <c r="M29" s="5">
        <v>45</v>
      </c>
      <c r="N29" s="4">
        <v>4</v>
      </c>
      <c r="O29" s="5">
        <v>22275.258552108189</v>
      </c>
      <c r="P29" s="5">
        <v>89101.034208432757</v>
      </c>
      <c r="Q29" s="5">
        <v>0</v>
      </c>
      <c r="R29" s="5">
        <v>44550.517104216378</v>
      </c>
      <c r="S29" s="4" t="s">
        <v>710</v>
      </c>
      <c r="T29" s="4" t="s">
        <v>711</v>
      </c>
      <c r="U29" s="4" t="s">
        <v>712</v>
      </c>
      <c r="V29" s="4" t="b">
        <v>0</v>
      </c>
      <c r="W29" s="5"/>
    </row>
    <row r="30" spans="1:23" ht="28" x14ac:dyDescent="0.25">
      <c r="A30" s="4" t="s">
        <v>713</v>
      </c>
      <c r="B30" s="4">
        <v>28</v>
      </c>
      <c r="C30" s="4" t="s">
        <v>396</v>
      </c>
      <c r="D30" s="4" t="s">
        <v>359</v>
      </c>
      <c r="E30" s="4" t="s">
        <v>122</v>
      </c>
      <c r="F30" s="4" t="s">
        <v>129</v>
      </c>
      <c r="G30" s="4" t="s">
        <v>143</v>
      </c>
      <c r="H30" s="4" t="s">
        <v>106</v>
      </c>
      <c r="I30" s="5">
        <v>343675.41766109777</v>
      </c>
      <c r="J30" s="4" t="s">
        <v>295</v>
      </c>
      <c r="K30" s="4" t="s">
        <v>281</v>
      </c>
      <c r="L30" s="4">
        <v>1</v>
      </c>
      <c r="M30" s="5">
        <v>200</v>
      </c>
      <c r="N30" s="4">
        <v>7</v>
      </c>
      <c r="O30" s="5">
        <v>1718.377088305489</v>
      </c>
      <c r="P30" s="5">
        <v>12028.639618138421</v>
      </c>
      <c r="Q30" s="5">
        <v>1718.377088305489</v>
      </c>
      <c r="R30" s="5">
        <v>5155.1312649164674</v>
      </c>
      <c r="S30" s="4" t="s">
        <v>703</v>
      </c>
      <c r="T30" s="4" t="s">
        <v>714</v>
      </c>
      <c r="U30" s="4" t="s">
        <v>715</v>
      </c>
      <c r="V30" s="4" t="b">
        <v>1</v>
      </c>
      <c r="W30" s="4" t="s">
        <v>296</v>
      </c>
    </row>
    <row r="31" spans="1:23" ht="28" x14ac:dyDescent="0.25">
      <c r="A31" s="4" t="s">
        <v>647</v>
      </c>
      <c r="B31" s="4">
        <v>29</v>
      </c>
      <c r="C31" s="4" t="s">
        <v>397</v>
      </c>
      <c r="D31" s="4" t="s">
        <v>359</v>
      </c>
      <c r="E31" s="4" t="s">
        <v>122</v>
      </c>
      <c r="F31" s="4" t="s">
        <v>129</v>
      </c>
      <c r="G31" s="4" t="s">
        <v>143</v>
      </c>
      <c r="H31" s="4" t="s">
        <v>110</v>
      </c>
      <c r="I31" s="5">
        <v>343675.41766109777</v>
      </c>
      <c r="J31" s="4" t="s">
        <v>300</v>
      </c>
      <c r="K31" s="4" t="s">
        <v>270</v>
      </c>
      <c r="L31" s="4">
        <v>1</v>
      </c>
      <c r="M31" s="5">
        <v>200</v>
      </c>
      <c r="N31" s="4">
        <v>2</v>
      </c>
      <c r="O31" s="5">
        <v>1718.377088305489</v>
      </c>
      <c r="P31" s="5">
        <v>3436.754176610978</v>
      </c>
      <c r="Q31" s="5">
        <v>0</v>
      </c>
      <c r="R31" s="5">
        <v>1718.377088305489</v>
      </c>
      <c r="S31" s="4" t="s">
        <v>272</v>
      </c>
      <c r="T31" s="4" t="s">
        <v>716</v>
      </c>
      <c r="U31" s="4" t="s">
        <v>717</v>
      </c>
      <c r="V31" s="4" t="b">
        <v>1</v>
      </c>
      <c r="W31" s="4" t="s">
        <v>301</v>
      </c>
    </row>
    <row r="32" spans="1:23" ht="28" x14ac:dyDescent="0.25">
      <c r="A32" s="4" t="s">
        <v>718</v>
      </c>
      <c r="B32" s="4">
        <v>30</v>
      </c>
      <c r="C32" s="4" t="s">
        <v>398</v>
      </c>
      <c r="D32" s="4" t="s">
        <v>362</v>
      </c>
      <c r="E32" s="4" t="s">
        <v>122</v>
      </c>
      <c r="F32" s="4" t="s">
        <v>129</v>
      </c>
      <c r="G32" s="4" t="s">
        <v>143</v>
      </c>
      <c r="H32" s="4" t="s">
        <v>106</v>
      </c>
      <c r="I32" s="5">
        <v>38186.157517899759</v>
      </c>
      <c r="J32" s="4" t="s">
        <v>299</v>
      </c>
      <c r="K32" s="4" t="s">
        <v>291</v>
      </c>
      <c r="L32" s="4">
        <v>3</v>
      </c>
      <c r="M32" s="5">
        <v>100</v>
      </c>
      <c r="N32" s="4">
        <v>7</v>
      </c>
      <c r="O32" s="5">
        <v>381.86157517899761</v>
      </c>
      <c r="P32" s="5">
        <v>2673.0310262529838</v>
      </c>
      <c r="Q32" s="5">
        <v>381.86157517899761</v>
      </c>
      <c r="R32" s="5">
        <v>1527.44630071599</v>
      </c>
      <c r="S32" s="4" t="s">
        <v>292</v>
      </c>
      <c r="T32" s="4" t="s">
        <v>719</v>
      </c>
      <c r="U32" s="4" t="s">
        <v>720</v>
      </c>
      <c r="V32" s="4" t="b">
        <v>0</v>
      </c>
      <c r="W32" s="4" t="s">
        <v>293</v>
      </c>
    </row>
    <row r="33" spans="1:23" x14ac:dyDescent="0.25">
      <c r="A33" s="4" t="s">
        <v>649</v>
      </c>
      <c r="B33" s="4">
        <v>31</v>
      </c>
      <c r="C33" s="4" t="s">
        <v>399</v>
      </c>
      <c r="D33" s="4" t="s">
        <v>362</v>
      </c>
      <c r="E33" s="4" t="s">
        <v>122</v>
      </c>
      <c r="F33" s="4" t="s">
        <v>129</v>
      </c>
      <c r="G33" s="4" t="s">
        <v>40</v>
      </c>
      <c r="H33" s="4" t="s">
        <v>110</v>
      </c>
      <c r="I33" s="5">
        <v>38186.157517899759</v>
      </c>
      <c r="J33" s="4" t="s">
        <v>268</v>
      </c>
      <c r="K33" s="4" t="s">
        <v>30</v>
      </c>
      <c r="L33" s="4">
        <v>1</v>
      </c>
      <c r="M33" s="5">
        <v>25</v>
      </c>
      <c r="N33" s="4">
        <v>6</v>
      </c>
      <c r="O33" s="5">
        <v>1527.44630071599</v>
      </c>
      <c r="P33" s="5">
        <v>9164.6778042959431</v>
      </c>
      <c r="Q33" s="5">
        <v>0</v>
      </c>
      <c r="R33" s="5">
        <v>1527.44630071599</v>
      </c>
      <c r="S33" s="4" t="s">
        <v>224</v>
      </c>
      <c r="T33" s="4" t="s">
        <v>721</v>
      </c>
      <c r="U33" s="4" t="s">
        <v>721</v>
      </c>
      <c r="V33" s="4" t="b">
        <v>1</v>
      </c>
      <c r="W33" s="5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装卸作业技术方案主表</vt:lpstr>
      <vt:lpstr>原始货运量资料</vt:lpstr>
      <vt:lpstr>工艺过程参数</vt:lpstr>
      <vt:lpstr>机械资源参数</vt:lpstr>
      <vt:lpstr>货流拆分表</vt:lpstr>
      <vt:lpstr>操作过程明细表</vt:lpstr>
      <vt:lpstr>主要指标汇总</vt:lpstr>
      <vt:lpstr>通过能力核算</vt:lpstr>
      <vt:lpstr>机械能力核算</vt:lpstr>
      <vt:lpstr>薄弱环节分析</vt:lpstr>
      <vt:lpstr>资源增配测算</vt:lpstr>
      <vt:lpstr>图表数据</vt:lpstr>
      <vt:lpstr>双口径校核</vt:lpstr>
      <vt:lpstr>原始419口径货流拆分</vt:lpstr>
      <vt:lpstr>原始419口径指标</vt:lpstr>
      <vt:lpstr>MILP工艺选择</vt:lpstr>
      <vt:lpstr>MILP机械能力</vt:lpstr>
      <vt:lpstr>MILP模型规模</vt:lpstr>
      <vt:lpstr>MILP资源负荷</vt:lpstr>
      <vt:lpstr>Gurobi模型摘要</vt:lpstr>
      <vt:lpstr>Gurobi资源负荷</vt:lpstr>
      <vt:lpstr>Gurobi设备增配</vt:lpstr>
      <vt:lpstr>Gurobi工艺选择</vt:lpstr>
      <vt:lpstr>启发式摘要</vt:lpstr>
      <vt:lpstr>启发式资源负荷</vt:lpstr>
      <vt:lpstr>启发式工艺选择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智健 栾</cp:lastModifiedBy>
  <dcterms:created xsi:type="dcterms:W3CDTF">2006-09-16T00:00:00Z</dcterms:created>
  <dcterms:modified xsi:type="dcterms:W3CDTF">2026-07-03T10:44:43Z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92BE75E8FCE94A69B11E72D7622F9201_13</vt:lpwstr>
  </property>
  <property fmtid="{D5CDD505-2E9C-101B-9397-08002B2CF9AE}" pid="3" name="KSOProductBuildVer">
    <vt:lpwstr>2052-12.1.0.16388</vt:lpwstr>
  </property>
</Properties>
</file>