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9"/>
  <workbookPr filterPrivacy="1"/>
  <xr:revisionPtr revIDLastSave="0" documentId="13_ncr:1_{0F81F510-0EF8-42C8-96A7-37F1A7E06894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线性二次移动平均法" sheetId="1" r:id="rId1"/>
    <sheet name="单一参数线性指数平滑法" sheetId="2" r:id="rId2"/>
    <sheet name="双参数线性指数平滑法" sheetId="3" r:id="rId3"/>
    <sheet name="随堂练习（二次移动平均法）" sheetId="5" r:id="rId4"/>
    <sheet name="随堂练习（二次指数平滑法）" sheetId="4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3" l="1"/>
  <c r="F4" i="3"/>
  <c r="F5" i="3"/>
  <c r="F6" i="3"/>
  <c r="F7" i="3"/>
  <c r="F8" i="3"/>
  <c r="F9" i="3"/>
  <c r="F10" i="3"/>
  <c r="F11" i="3"/>
  <c r="F12" i="3"/>
  <c r="F13" i="3"/>
  <c r="F14" i="3"/>
  <c r="F15" i="3"/>
  <c r="F3" i="3"/>
  <c r="I19" i="1"/>
  <c r="H8" i="1"/>
  <c r="H9" i="1"/>
  <c r="H10" i="1"/>
  <c r="H11" i="1"/>
  <c r="H12" i="1"/>
  <c r="H13" i="1"/>
  <c r="H14" i="1"/>
  <c r="H15" i="1"/>
  <c r="H7" i="1"/>
  <c r="I18" i="2"/>
  <c r="H5" i="2"/>
  <c r="H6" i="2"/>
  <c r="H7" i="2"/>
  <c r="H8" i="2"/>
  <c r="H9" i="2"/>
  <c r="H10" i="2"/>
  <c r="H11" i="2"/>
  <c r="H12" i="2"/>
  <c r="H13" i="2"/>
  <c r="H14" i="2"/>
  <c r="H15" i="2"/>
  <c r="H4" i="2"/>
  <c r="C5" i="1" l="1"/>
  <c r="D7" i="1" s="1"/>
  <c r="C6" i="1"/>
  <c r="C7" i="1"/>
  <c r="E7" i="1" s="1"/>
  <c r="C8" i="1"/>
  <c r="C9" i="1"/>
  <c r="C10" i="1"/>
  <c r="C11" i="1"/>
  <c r="C12" i="1"/>
  <c r="C13" i="1"/>
  <c r="C14" i="1"/>
  <c r="C15" i="1"/>
  <c r="C4" i="1"/>
  <c r="D6" i="1" s="1"/>
  <c r="E11" i="1" l="1"/>
  <c r="G12" i="1" s="1"/>
  <c r="E6" i="1"/>
  <c r="D12" i="1"/>
  <c r="E12" i="1" s="1"/>
  <c r="G13" i="1" s="1"/>
  <c r="D8" i="1"/>
  <c r="F8" i="1" s="1"/>
  <c r="F6" i="1"/>
  <c r="F12" i="1"/>
  <c r="D15" i="1"/>
  <c r="E15" i="1" s="1"/>
  <c r="G16" i="1" s="1"/>
  <c r="D11" i="1"/>
  <c r="E13" i="1"/>
  <c r="F15" i="1"/>
  <c r="F11" i="1"/>
  <c r="F7" i="1"/>
  <c r="G8" i="1" s="1"/>
  <c r="D14" i="1"/>
  <c r="F14" i="1" s="1"/>
  <c r="D10" i="1"/>
  <c r="F10" i="1" s="1"/>
  <c r="D13" i="1"/>
  <c r="F13" i="1" s="1"/>
  <c r="D9" i="1"/>
  <c r="E9" i="1" s="1"/>
  <c r="D3" i="3"/>
  <c r="C3" i="3"/>
  <c r="E4" i="3" s="1"/>
  <c r="C2" i="3"/>
  <c r="C3" i="2"/>
  <c r="C2" i="2"/>
  <c r="D2" i="2" s="1"/>
  <c r="C4" i="3" l="1"/>
  <c r="G7" i="1"/>
  <c r="D3" i="2"/>
  <c r="F3" i="2" s="1"/>
  <c r="C4" i="2"/>
  <c r="E10" i="1"/>
  <c r="G11" i="1" s="1"/>
  <c r="F9" i="1"/>
  <c r="G10" i="1" s="1"/>
  <c r="E8" i="1"/>
  <c r="G9" i="1" s="1"/>
  <c r="G14" i="1"/>
  <c r="D2" i="3"/>
  <c r="E3" i="3" s="1"/>
  <c r="E14" i="1"/>
  <c r="G15" i="1" s="1"/>
  <c r="E3" i="2" l="1"/>
  <c r="G4" i="2" s="1"/>
  <c r="D4" i="3"/>
  <c r="E5" i="3"/>
  <c r="C5" i="3"/>
  <c r="D4" i="2"/>
  <c r="C5" i="2"/>
  <c r="C6" i="2" l="1"/>
  <c r="F5" i="2"/>
  <c r="C6" i="3"/>
  <c r="D5" i="3"/>
  <c r="E6" i="3" s="1"/>
  <c r="D5" i="2"/>
  <c r="D6" i="2" s="1"/>
  <c r="E4" i="2"/>
  <c r="G5" i="2" s="1"/>
  <c r="F4" i="2"/>
  <c r="D6" i="3" l="1"/>
  <c r="E7" i="3" s="1"/>
  <c r="D7" i="2"/>
  <c r="E5" i="2"/>
  <c r="G6" i="2" s="1"/>
  <c r="C7" i="2"/>
  <c r="E6" i="2"/>
  <c r="F6" i="2"/>
  <c r="G7" i="2" l="1"/>
  <c r="C7" i="3"/>
  <c r="C8" i="2"/>
  <c r="E7" i="2"/>
  <c r="G8" i="2" s="1"/>
  <c r="F7" i="2"/>
  <c r="C9" i="2" l="1"/>
  <c r="D8" i="2"/>
  <c r="D9" i="2" s="1"/>
  <c r="D7" i="3"/>
  <c r="C8" i="3" s="1"/>
  <c r="E8" i="2" l="1"/>
  <c r="E9" i="3"/>
  <c r="D8" i="3"/>
  <c r="C9" i="3" s="1"/>
  <c r="F8" i="2"/>
  <c r="E8" i="3"/>
  <c r="C10" i="2"/>
  <c r="D10" i="2" s="1"/>
  <c r="F9" i="2"/>
  <c r="E9" i="2"/>
  <c r="D9" i="3" l="1"/>
  <c r="C10" i="3" s="1"/>
  <c r="C11" i="2"/>
  <c r="F10" i="2"/>
  <c r="E10" i="2"/>
  <c r="G11" i="2" s="1"/>
  <c r="G10" i="2"/>
  <c r="G9" i="2"/>
  <c r="C12" i="2" l="1"/>
  <c r="E11" i="3"/>
  <c r="D10" i="3"/>
  <c r="C11" i="3" s="1"/>
  <c r="E10" i="3"/>
  <c r="D11" i="2"/>
  <c r="D12" i="2" s="1"/>
  <c r="F11" i="2" l="1"/>
  <c r="E11" i="2"/>
  <c r="G12" i="2" s="1"/>
  <c r="D13" i="2"/>
  <c r="E12" i="3"/>
  <c r="D11" i="3"/>
  <c r="C12" i="3" s="1"/>
  <c r="C13" i="2"/>
  <c r="F12" i="2"/>
  <c r="E12" i="2"/>
  <c r="G13" i="2" l="1"/>
  <c r="C14" i="2"/>
  <c r="F13" i="2"/>
  <c r="E13" i="2"/>
  <c r="D12" i="3"/>
  <c r="C13" i="3" s="1"/>
  <c r="C15" i="2" l="1"/>
  <c r="D14" i="2"/>
  <c r="D15" i="2" s="1"/>
  <c r="D13" i="3"/>
  <c r="C14" i="3" s="1"/>
  <c r="E13" i="3"/>
  <c r="G14" i="2"/>
  <c r="F14" i="2" l="1"/>
  <c r="D14" i="3"/>
  <c r="C15" i="3" s="1"/>
  <c r="E14" i="2"/>
  <c r="G15" i="2" s="1"/>
  <c r="E14" i="3"/>
  <c r="E15" i="2"/>
  <c r="F15" i="2"/>
  <c r="D15" i="3" l="1"/>
  <c r="E16" i="3"/>
  <c r="E15" i="3"/>
  <c r="G16" i="2"/>
</calcChain>
</file>

<file path=xl/sharedStrings.xml><?xml version="1.0" encoding="utf-8"?>
<sst xmlns="http://schemas.openxmlformats.org/spreadsheetml/2006/main" count="33" uniqueCount="19">
  <si>
    <r>
      <rPr>
        <sz val="14"/>
        <color theme="0"/>
        <rFont val="微软雅黑"/>
        <family val="2"/>
        <charset val="134"/>
      </rPr>
      <t>期数</t>
    </r>
    <phoneticPr fontId="1" type="noConversion"/>
  </si>
  <si>
    <r>
      <rPr>
        <sz val="14"/>
        <color theme="0"/>
        <rFont val="微软雅黑"/>
        <family val="2"/>
        <charset val="134"/>
      </rPr>
      <t>销售额</t>
    </r>
    <phoneticPr fontId="1" type="noConversion"/>
  </si>
  <si>
    <r>
      <rPr>
        <i/>
        <sz val="14"/>
        <color theme="0"/>
        <rFont val="Times New Roman"/>
        <family val="1"/>
      </rPr>
      <t>s</t>
    </r>
    <r>
      <rPr>
        <vertAlign val="superscript"/>
        <sz val="14"/>
        <color theme="0"/>
        <rFont val="Times New Roman"/>
        <family val="1"/>
      </rPr>
      <t>(1)</t>
    </r>
    <r>
      <rPr>
        <i/>
        <vertAlign val="subscript"/>
        <sz val="14"/>
        <color theme="0"/>
        <rFont val="Times New Roman"/>
        <family val="1"/>
      </rPr>
      <t>t</t>
    </r>
    <r>
      <rPr>
        <sz val="14"/>
        <color theme="0"/>
        <rFont val="Times New Roman"/>
        <family val="1"/>
      </rPr>
      <t xml:space="preserve"> (</t>
    </r>
    <r>
      <rPr>
        <i/>
        <sz val="14"/>
        <color theme="0"/>
        <rFont val="Times New Roman"/>
        <family val="1"/>
      </rPr>
      <t>N</t>
    </r>
    <r>
      <rPr>
        <sz val="14"/>
        <color theme="0"/>
        <rFont val="Times New Roman"/>
        <family val="1"/>
      </rPr>
      <t>=3)</t>
    </r>
    <phoneticPr fontId="1" type="noConversion"/>
  </si>
  <si>
    <r>
      <rPr>
        <i/>
        <sz val="14"/>
        <color theme="0"/>
        <rFont val="Times New Roman"/>
        <family val="1"/>
      </rPr>
      <t>s</t>
    </r>
    <r>
      <rPr>
        <vertAlign val="superscript"/>
        <sz val="14"/>
        <color theme="0"/>
        <rFont val="Times New Roman"/>
        <family val="1"/>
      </rPr>
      <t>(2)</t>
    </r>
    <r>
      <rPr>
        <i/>
        <vertAlign val="subscript"/>
        <sz val="14"/>
        <color theme="0"/>
        <rFont val="Times New Roman"/>
        <family val="1"/>
      </rPr>
      <t>t</t>
    </r>
    <r>
      <rPr>
        <sz val="14"/>
        <color theme="0"/>
        <rFont val="Times New Roman"/>
        <family val="1"/>
      </rPr>
      <t xml:space="preserve"> (</t>
    </r>
    <r>
      <rPr>
        <i/>
        <sz val="14"/>
        <color theme="0"/>
        <rFont val="Times New Roman"/>
        <family val="1"/>
      </rPr>
      <t>N</t>
    </r>
    <r>
      <rPr>
        <sz val="14"/>
        <color theme="0"/>
        <rFont val="Times New Roman"/>
        <family val="1"/>
      </rPr>
      <t>=3)</t>
    </r>
    <phoneticPr fontId="1" type="noConversion"/>
  </si>
  <si>
    <r>
      <t>a</t>
    </r>
    <r>
      <rPr>
        <i/>
        <vertAlign val="subscript"/>
        <sz val="14"/>
        <color theme="0"/>
        <rFont val="Times New Roman"/>
        <family val="1"/>
      </rPr>
      <t>t</t>
    </r>
    <phoneticPr fontId="1" type="noConversion"/>
  </si>
  <si>
    <r>
      <t>b</t>
    </r>
    <r>
      <rPr>
        <i/>
        <vertAlign val="subscript"/>
        <sz val="14"/>
        <color theme="0"/>
        <rFont val="Times New Roman"/>
        <family val="1"/>
      </rPr>
      <t>t</t>
    </r>
    <phoneticPr fontId="1" type="noConversion"/>
  </si>
  <si>
    <r>
      <t>F</t>
    </r>
    <r>
      <rPr>
        <i/>
        <vertAlign val="subscript"/>
        <sz val="14"/>
        <color theme="0"/>
        <rFont val="Times New Roman"/>
        <family val="1"/>
      </rPr>
      <t>t</t>
    </r>
    <phoneticPr fontId="1" type="noConversion"/>
  </si>
  <si>
    <r>
      <rPr>
        <i/>
        <sz val="14"/>
        <color theme="0"/>
        <rFont val="Times New Roman"/>
        <family val="1"/>
      </rPr>
      <t>s</t>
    </r>
    <r>
      <rPr>
        <vertAlign val="superscript"/>
        <sz val="14"/>
        <color theme="0"/>
        <rFont val="Times New Roman"/>
        <family val="1"/>
      </rPr>
      <t>(2)</t>
    </r>
    <r>
      <rPr>
        <i/>
        <vertAlign val="subscript"/>
        <sz val="14"/>
        <color theme="0"/>
        <rFont val="Times New Roman"/>
        <family val="1"/>
      </rPr>
      <t>t</t>
    </r>
    <r>
      <rPr>
        <sz val="14"/>
        <color theme="0"/>
        <rFont val="Times New Roman"/>
        <family val="1"/>
      </rPr>
      <t xml:space="preserve"> </t>
    </r>
    <phoneticPr fontId="1" type="noConversion"/>
  </si>
  <si>
    <r>
      <rPr>
        <i/>
        <sz val="14"/>
        <color theme="0"/>
        <rFont val="Times New Roman"/>
        <family val="1"/>
      </rPr>
      <t>s</t>
    </r>
    <r>
      <rPr>
        <i/>
        <vertAlign val="subscript"/>
        <sz val="14"/>
        <color theme="0"/>
        <rFont val="Times New Roman"/>
        <family val="1"/>
      </rPr>
      <t>t</t>
    </r>
    <r>
      <rPr>
        <sz val="14"/>
        <color theme="0"/>
        <rFont val="Times New Roman"/>
        <family val="1"/>
      </rPr>
      <t/>
    </r>
    <phoneticPr fontId="1" type="noConversion"/>
  </si>
  <si>
    <t>年份</t>
    <phoneticPr fontId="1" type="noConversion"/>
  </si>
  <si>
    <t>时期t</t>
    <phoneticPr fontId="1" type="noConversion"/>
  </si>
  <si>
    <t>yt</t>
    <phoneticPr fontId="1" type="noConversion"/>
  </si>
  <si>
    <t>t</t>
    <phoneticPr fontId="1" type="noConversion"/>
  </si>
  <si>
    <t>运用二次指数平滑法预测2018-2019年汽车数量</t>
    <phoneticPr fontId="1" type="noConversion"/>
  </si>
  <si>
    <t>运用二次移动平均法预测最近2期该产品销售额（N=5）</t>
    <phoneticPr fontId="1" type="noConversion"/>
  </si>
  <si>
    <r>
      <rPr>
        <sz val="14"/>
        <color theme="0"/>
        <rFont val="等线"/>
        <family val="2"/>
      </rPr>
      <t>预测误差</t>
    </r>
    <phoneticPr fontId="1" type="noConversion"/>
  </si>
  <si>
    <t>MSE</t>
    <phoneticPr fontId="1" type="noConversion"/>
  </si>
  <si>
    <t>α=0.2</t>
    <phoneticPr fontId="1" type="noConversion"/>
  </si>
  <si>
    <r>
      <rPr>
        <i/>
        <sz val="14"/>
        <color theme="0"/>
        <rFont val="Times New Roman"/>
        <family val="1"/>
      </rPr>
      <t>s</t>
    </r>
    <r>
      <rPr>
        <vertAlign val="superscript"/>
        <sz val="14"/>
        <color theme="0"/>
        <rFont val="Times New Roman"/>
        <family val="1"/>
      </rPr>
      <t>(1)</t>
    </r>
    <r>
      <rPr>
        <i/>
        <vertAlign val="subscript"/>
        <sz val="14"/>
        <color theme="0"/>
        <rFont val="Times New Roman"/>
        <family val="1"/>
      </rPr>
      <t xml:space="preserve">t </t>
    </r>
    <r>
      <rPr>
        <sz val="14"/>
        <color theme="0"/>
        <rFont val="宋体"/>
        <family val="3"/>
        <charset val="134"/>
      </rPr>
      <t>（α</t>
    </r>
    <r>
      <rPr>
        <sz val="14"/>
        <color theme="0"/>
        <rFont val="Times New Roman"/>
        <family val="1"/>
      </rPr>
      <t>=0.2</t>
    </r>
    <r>
      <rPr>
        <sz val="14"/>
        <color theme="0"/>
        <rFont val="宋体"/>
        <family val="3"/>
        <charset val="134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</si>
</sst>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0"/>
      <name val="Times New Roman"/>
      <family val="1"/>
    </font>
    <font>
      <sz val="14"/>
      <color theme="0"/>
      <name val="微软雅黑"/>
      <family val="2"/>
      <charset val="134"/>
    </font>
    <font>
      <i/>
      <sz val="14"/>
      <color theme="0"/>
      <name val="Times New Roman"/>
      <family val="1"/>
    </font>
    <font>
      <vertAlign val="superscript"/>
      <sz val="14"/>
      <color theme="0"/>
      <name val="Times New Roman"/>
      <family val="1"/>
    </font>
    <font>
      <i/>
      <vertAlign val="subscript"/>
      <sz val="14"/>
      <color theme="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2"/>
      <color theme="1"/>
      <name val="Times New Roman"/>
      <family val="1"/>
    </font>
    <font>
      <sz val="14"/>
      <color theme="0"/>
      <name val="等线"/>
      <family val="2"/>
    </font>
    <font>
      <sz val="14"/>
      <color theme="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76" fontId="7" fillId="0" borderId="2" xfId="0" applyNumberFormat="1" applyFont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176" fontId="7" fillId="0" borderId="2" xfId="0" quotePrefix="1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2" fillId="3" borderId="0" xfId="0" applyFont="1" applyFill="1" applyAlignment="1">
      <alignment horizontal="center"/>
    </xf>
    <xf numFmtId="0" fontId="10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2" fillId="2" borderId="0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showGridLines="0" workbookViewId="0">
      <selection activeCell="H13" sqref="H13"/>
    </sheetView>
  </sheetViews>
  <sheetFormatPr defaultRowHeight="13.8" x14ac:dyDescent="0.25"/>
  <cols>
    <col min="1" max="1" width="9.109375" bestFit="1" customWidth="1"/>
    <col min="2" max="2" width="9.33203125" bestFit="1" customWidth="1"/>
    <col min="3" max="4" width="13.44140625" bestFit="1" customWidth="1"/>
    <col min="5" max="5" width="6.5546875" bestFit="1" customWidth="1"/>
    <col min="6" max="6" width="6.21875" bestFit="1" customWidth="1"/>
    <col min="7" max="7" width="6.5546875" bestFit="1" customWidth="1"/>
    <col min="8" max="8" width="11.88671875" bestFit="1" customWidth="1"/>
  </cols>
  <sheetData>
    <row r="1" spans="1:8" ht="21.6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5" t="s">
        <v>15</v>
      </c>
    </row>
    <row r="2" spans="1:8" ht="15.6" x14ac:dyDescent="0.3">
      <c r="A2" s="3">
        <v>1</v>
      </c>
      <c r="B2" s="3">
        <v>125</v>
      </c>
      <c r="C2" s="3"/>
      <c r="D2" s="3"/>
      <c r="E2" s="3"/>
      <c r="F2" s="3"/>
      <c r="G2" s="3"/>
    </row>
    <row r="3" spans="1:8" ht="15.6" x14ac:dyDescent="0.3">
      <c r="A3" s="3">
        <v>2</v>
      </c>
      <c r="B3" s="3">
        <v>135</v>
      </c>
      <c r="C3" s="3"/>
      <c r="D3" s="3"/>
      <c r="E3" s="3"/>
      <c r="F3" s="3"/>
      <c r="G3" s="3"/>
    </row>
    <row r="4" spans="1:8" ht="15.6" x14ac:dyDescent="0.3">
      <c r="A4" s="3">
        <v>3</v>
      </c>
      <c r="B4" s="3">
        <v>195</v>
      </c>
      <c r="C4" s="4">
        <f>AVERAGE(B2:B4)</f>
        <v>151.66666666666666</v>
      </c>
      <c r="D4" s="4"/>
      <c r="E4" s="4"/>
      <c r="F4" s="4"/>
      <c r="G4" s="4"/>
    </row>
    <row r="5" spans="1:8" ht="15.6" x14ac:dyDescent="0.3">
      <c r="A5" s="3">
        <v>4</v>
      </c>
      <c r="B5" s="3">
        <v>197.5</v>
      </c>
      <c r="C5" s="4">
        <f t="shared" ref="C5:D15" si="0">AVERAGE(B3:B5)</f>
        <v>175.83333333333334</v>
      </c>
      <c r="D5" s="4"/>
      <c r="E5" s="4"/>
      <c r="F5" s="4"/>
      <c r="G5" s="4"/>
    </row>
    <row r="6" spans="1:8" ht="15.6" x14ac:dyDescent="0.3">
      <c r="A6" s="3">
        <v>5</v>
      </c>
      <c r="B6" s="3">
        <v>186</v>
      </c>
      <c r="C6" s="4">
        <f t="shared" si="0"/>
        <v>192.83333333333334</v>
      </c>
      <c r="D6" s="4">
        <f>AVERAGE(C4:C6)</f>
        <v>173.44444444444446</v>
      </c>
      <c r="E6" s="4">
        <f>2*C6-D6</f>
        <v>212.22222222222223</v>
      </c>
      <c r="F6" s="4">
        <f>2*(C6-D6)/2</f>
        <v>19.388888888888886</v>
      </c>
      <c r="G6" s="4"/>
    </row>
    <row r="7" spans="1:8" ht="15.6" x14ac:dyDescent="0.3">
      <c r="A7" s="3">
        <v>6</v>
      </c>
      <c r="B7" s="3">
        <v>175</v>
      </c>
      <c r="C7" s="4">
        <f t="shared" si="0"/>
        <v>186.16666666666666</v>
      </c>
      <c r="D7" s="4">
        <f t="shared" si="0"/>
        <v>184.94444444444446</v>
      </c>
      <c r="E7" s="4">
        <f t="shared" ref="E7:E15" si="1">2*C7-D7</f>
        <v>187.38888888888886</v>
      </c>
      <c r="F7" s="4">
        <f t="shared" ref="F7:F15" si="2">2*(C7-D7)/2</f>
        <v>1.2222222222222001</v>
      </c>
      <c r="G7" s="4">
        <f>E6+F6</f>
        <v>231.61111111111111</v>
      </c>
      <c r="H7">
        <f>(B7-G7)^2</f>
        <v>3204.8179012345681</v>
      </c>
    </row>
    <row r="8" spans="1:8" ht="15.6" x14ac:dyDescent="0.3">
      <c r="A8" s="3">
        <v>7</v>
      </c>
      <c r="B8" s="3">
        <v>155</v>
      </c>
      <c r="C8" s="4">
        <f t="shared" si="0"/>
        <v>172</v>
      </c>
      <c r="D8" s="4">
        <f t="shared" si="0"/>
        <v>183.66666666666666</v>
      </c>
      <c r="E8" s="4">
        <f t="shared" si="1"/>
        <v>160.33333333333334</v>
      </c>
      <c r="F8" s="4">
        <f t="shared" si="2"/>
        <v>-11.666666666666657</v>
      </c>
      <c r="G8" s="4">
        <f t="shared" ref="G8:G16" si="3">E7+F7</f>
        <v>188.61111111111106</v>
      </c>
      <c r="H8">
        <f t="shared" ref="H8:H15" si="4">(B8-G8)^2</f>
        <v>1129.7067901234532</v>
      </c>
    </row>
    <row r="9" spans="1:8" ht="15.6" x14ac:dyDescent="0.3">
      <c r="A9" s="3">
        <v>8</v>
      </c>
      <c r="B9" s="3">
        <v>190</v>
      </c>
      <c r="C9" s="4">
        <f t="shared" si="0"/>
        <v>173.33333333333334</v>
      </c>
      <c r="D9" s="4">
        <f t="shared" si="0"/>
        <v>177.16666666666666</v>
      </c>
      <c r="E9" s="4">
        <f t="shared" si="1"/>
        <v>169.50000000000003</v>
      </c>
      <c r="F9" s="4">
        <f t="shared" si="2"/>
        <v>-3.8333333333333144</v>
      </c>
      <c r="G9" s="4">
        <f t="shared" si="3"/>
        <v>148.66666666666669</v>
      </c>
      <c r="H9">
        <f t="shared" si="4"/>
        <v>1708.444444444443</v>
      </c>
    </row>
    <row r="10" spans="1:8" ht="15.6" x14ac:dyDescent="0.3">
      <c r="A10" s="3">
        <v>9</v>
      </c>
      <c r="B10" s="3">
        <v>220</v>
      </c>
      <c r="C10" s="4">
        <f t="shared" si="0"/>
        <v>188.33333333333334</v>
      </c>
      <c r="D10" s="4">
        <f t="shared" si="0"/>
        <v>177.88888888888891</v>
      </c>
      <c r="E10" s="4">
        <f t="shared" si="1"/>
        <v>198.77777777777777</v>
      </c>
      <c r="F10" s="4">
        <f t="shared" si="2"/>
        <v>10.444444444444429</v>
      </c>
      <c r="G10" s="4">
        <f t="shared" si="3"/>
        <v>165.66666666666671</v>
      </c>
      <c r="H10">
        <f t="shared" si="4"/>
        <v>2952.1111111111059</v>
      </c>
    </row>
    <row r="11" spans="1:8" ht="15.6" x14ac:dyDescent="0.3">
      <c r="A11" s="3">
        <v>10</v>
      </c>
      <c r="B11" s="3">
        <v>219</v>
      </c>
      <c r="C11" s="4">
        <f t="shared" si="0"/>
        <v>209.66666666666666</v>
      </c>
      <c r="D11" s="4">
        <f t="shared" si="0"/>
        <v>190.44444444444446</v>
      </c>
      <c r="E11" s="4">
        <f t="shared" si="1"/>
        <v>228.88888888888886</v>
      </c>
      <c r="F11" s="4">
        <f t="shared" si="2"/>
        <v>19.2222222222222</v>
      </c>
      <c r="G11" s="4">
        <f t="shared" si="3"/>
        <v>209.2222222222222</v>
      </c>
      <c r="H11">
        <f t="shared" si="4"/>
        <v>95.604938271605377</v>
      </c>
    </row>
    <row r="12" spans="1:8" ht="15.6" x14ac:dyDescent="0.3">
      <c r="A12" s="3">
        <v>11</v>
      </c>
      <c r="B12" s="3">
        <v>226</v>
      </c>
      <c r="C12" s="4">
        <f t="shared" si="0"/>
        <v>221.66666666666666</v>
      </c>
      <c r="D12" s="4">
        <f t="shared" si="0"/>
        <v>206.55555555555554</v>
      </c>
      <c r="E12" s="4">
        <f t="shared" si="1"/>
        <v>236.77777777777777</v>
      </c>
      <c r="F12" s="4">
        <f t="shared" si="2"/>
        <v>15.111111111111114</v>
      </c>
      <c r="G12" s="4">
        <f t="shared" si="3"/>
        <v>248.11111111111106</v>
      </c>
      <c r="H12">
        <f t="shared" si="4"/>
        <v>488.90123456789888</v>
      </c>
    </row>
    <row r="13" spans="1:8" ht="15.6" x14ac:dyDescent="0.3">
      <c r="A13" s="3">
        <v>12</v>
      </c>
      <c r="B13" s="3">
        <v>198</v>
      </c>
      <c r="C13" s="4">
        <f t="shared" si="0"/>
        <v>214.33333333333334</v>
      </c>
      <c r="D13" s="4">
        <f t="shared" si="0"/>
        <v>215.2222222222222</v>
      </c>
      <c r="E13" s="4">
        <f t="shared" si="1"/>
        <v>213.44444444444449</v>
      </c>
      <c r="F13" s="4">
        <f t="shared" si="2"/>
        <v>-0.88888888888885731</v>
      </c>
      <c r="G13" s="4">
        <f t="shared" si="3"/>
        <v>251.88888888888889</v>
      </c>
      <c r="H13">
        <f t="shared" si="4"/>
        <v>2904.012345679012</v>
      </c>
    </row>
    <row r="14" spans="1:8" ht="15.6" x14ac:dyDescent="0.3">
      <c r="A14" s="3">
        <v>13</v>
      </c>
      <c r="B14" s="3">
        <v>260</v>
      </c>
      <c r="C14" s="4">
        <f t="shared" si="0"/>
        <v>228</v>
      </c>
      <c r="D14" s="4">
        <f t="shared" si="0"/>
        <v>221.33333333333334</v>
      </c>
      <c r="E14" s="4">
        <f t="shared" si="1"/>
        <v>234.66666666666666</v>
      </c>
      <c r="F14" s="4">
        <f t="shared" si="2"/>
        <v>6.6666666666666572</v>
      </c>
      <c r="G14" s="4">
        <f t="shared" si="3"/>
        <v>212.55555555555563</v>
      </c>
      <c r="H14">
        <f t="shared" si="4"/>
        <v>2250.9753086419682</v>
      </c>
    </row>
    <row r="15" spans="1:8" ht="15.6" x14ac:dyDescent="0.3">
      <c r="A15" s="3">
        <v>14</v>
      </c>
      <c r="B15" s="3">
        <v>245</v>
      </c>
      <c r="C15" s="4">
        <f t="shared" si="0"/>
        <v>234.33333333333334</v>
      </c>
      <c r="D15" s="4">
        <f t="shared" si="0"/>
        <v>225.55555555555557</v>
      </c>
      <c r="E15" s="4">
        <f t="shared" si="1"/>
        <v>243.11111111111111</v>
      </c>
      <c r="F15" s="4">
        <f t="shared" si="2"/>
        <v>8.7777777777777715</v>
      </c>
      <c r="G15" s="4">
        <f t="shared" si="3"/>
        <v>241.33333333333331</v>
      </c>
      <c r="H15">
        <f t="shared" si="4"/>
        <v>13.444444444444583</v>
      </c>
    </row>
    <row r="16" spans="1:8" ht="15.6" x14ac:dyDescent="0.3">
      <c r="A16" s="3">
        <v>15</v>
      </c>
      <c r="B16" s="5"/>
      <c r="C16" s="4"/>
      <c r="D16" s="4"/>
      <c r="E16" s="4"/>
      <c r="F16" s="4"/>
      <c r="G16" s="4">
        <f t="shared" si="3"/>
        <v>251.88888888888889</v>
      </c>
    </row>
    <row r="19" spans="8:9" x14ac:dyDescent="0.25">
      <c r="H19" t="s">
        <v>16</v>
      </c>
      <c r="I19">
        <f>AVERAGE(H7:H15)</f>
        <v>1638.6687242798332</v>
      </c>
    </row>
  </sheetData>
  <phoneticPr fontId="1" type="noConversion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showGridLines="0" tabSelected="1" workbookViewId="0">
      <selection activeCell="K4" sqref="K4"/>
    </sheetView>
  </sheetViews>
  <sheetFormatPr defaultRowHeight="13.8" x14ac:dyDescent="0.25"/>
  <cols>
    <col min="3" max="3" width="19.21875" bestFit="1" customWidth="1"/>
    <col min="8" max="8" width="12.77734375" bestFit="1" customWidth="1"/>
  </cols>
  <sheetData>
    <row r="1" spans="1:11" ht="21.6" x14ac:dyDescent="0.45">
      <c r="A1" s="1" t="s">
        <v>0</v>
      </c>
      <c r="B1" s="1" t="s">
        <v>1</v>
      </c>
      <c r="C1" s="1" t="s">
        <v>18</v>
      </c>
      <c r="D1" s="1" t="s">
        <v>7</v>
      </c>
      <c r="E1" s="2" t="s">
        <v>4</v>
      </c>
      <c r="F1" s="2" t="s">
        <v>5</v>
      </c>
      <c r="G1" s="2" t="s">
        <v>6</v>
      </c>
      <c r="H1" s="15" t="s">
        <v>15</v>
      </c>
    </row>
    <row r="2" spans="1:11" ht="15.6" x14ac:dyDescent="0.3">
      <c r="A2" s="3">
        <v>1</v>
      </c>
      <c r="B2" s="3">
        <v>125</v>
      </c>
      <c r="C2" s="3">
        <f>B2</f>
        <v>125</v>
      </c>
      <c r="D2" s="3">
        <f>C2</f>
        <v>125</v>
      </c>
      <c r="E2" s="3"/>
      <c r="F2" s="3"/>
      <c r="G2" s="3"/>
      <c r="K2" t="s">
        <v>17</v>
      </c>
    </row>
    <row r="3" spans="1:11" ht="15.6" x14ac:dyDescent="0.3">
      <c r="A3" s="3">
        <v>2</v>
      </c>
      <c r="B3" s="3">
        <v>135</v>
      </c>
      <c r="C3" s="3">
        <f>0.2*B3+0.8*C2</f>
        <v>127</v>
      </c>
      <c r="D3" s="3">
        <f>0.2*C3+0.8*D2</f>
        <v>125.4</v>
      </c>
      <c r="E3" s="3">
        <f>C3*2-D3</f>
        <v>128.6</v>
      </c>
      <c r="F3" s="3">
        <f>0.2/0.8*(C3-D3)</f>
        <v>0.39999999999999858</v>
      </c>
      <c r="G3" s="3"/>
    </row>
    <row r="4" spans="1:11" ht="15.6" x14ac:dyDescent="0.3">
      <c r="A4" s="3">
        <v>3</v>
      </c>
      <c r="B4" s="3">
        <v>195</v>
      </c>
      <c r="C4" s="3">
        <f t="shared" ref="C4:C15" si="0">0.2*B4+0.8*C3</f>
        <v>140.60000000000002</v>
      </c>
      <c r="D4" s="3">
        <f t="shared" ref="D4:D15" si="1">0.2*C4+0.8*D3</f>
        <v>128.44</v>
      </c>
      <c r="E4" s="3">
        <f t="shared" ref="E4:E15" si="2">C4*2-D4</f>
        <v>152.76000000000005</v>
      </c>
      <c r="F4" s="3">
        <f t="shared" ref="F4:F15" si="3">0.2/0.8*(C4-D4)</f>
        <v>3.0400000000000063</v>
      </c>
      <c r="G4" s="4">
        <f>E3+F3</f>
        <v>129</v>
      </c>
      <c r="H4">
        <f>(B4-G4)^2</f>
        <v>4356</v>
      </c>
    </row>
    <row r="5" spans="1:11" ht="15.6" x14ac:dyDescent="0.3">
      <c r="A5" s="3">
        <v>4</v>
      </c>
      <c r="B5" s="3">
        <v>197.5</v>
      </c>
      <c r="C5" s="3">
        <f t="shared" si="0"/>
        <v>151.98000000000002</v>
      </c>
      <c r="D5" s="3">
        <f t="shared" si="1"/>
        <v>133.14800000000002</v>
      </c>
      <c r="E5" s="3">
        <f t="shared" si="2"/>
        <v>170.81200000000001</v>
      </c>
      <c r="F5" s="3">
        <f t="shared" si="3"/>
        <v>4.7079999999999984</v>
      </c>
      <c r="G5" s="4">
        <f t="shared" ref="G5:G16" si="4">E4+F4</f>
        <v>155.80000000000007</v>
      </c>
      <c r="H5">
        <f t="shared" ref="H5:H15" si="5">(B5-G5)^2</f>
        <v>1738.8899999999944</v>
      </c>
    </row>
    <row r="6" spans="1:11" ht="15.6" x14ac:dyDescent="0.3">
      <c r="A6" s="3">
        <v>5</v>
      </c>
      <c r="B6" s="3">
        <v>186</v>
      </c>
      <c r="C6" s="3">
        <f t="shared" si="0"/>
        <v>158.78400000000002</v>
      </c>
      <c r="D6" s="3">
        <f t="shared" si="1"/>
        <v>138.27520000000004</v>
      </c>
      <c r="E6" s="3">
        <f t="shared" si="2"/>
        <v>179.2928</v>
      </c>
      <c r="F6" s="3">
        <f t="shared" si="3"/>
        <v>5.1271999999999949</v>
      </c>
      <c r="G6" s="4">
        <f t="shared" si="4"/>
        <v>175.52</v>
      </c>
      <c r="H6">
        <f t="shared" si="5"/>
        <v>109.83039999999978</v>
      </c>
    </row>
    <row r="7" spans="1:11" ht="15.6" x14ac:dyDescent="0.3">
      <c r="A7" s="3">
        <v>6</v>
      </c>
      <c r="B7" s="3">
        <v>175</v>
      </c>
      <c r="C7" s="3">
        <f t="shared" si="0"/>
        <v>162.02720000000002</v>
      </c>
      <c r="D7" s="3">
        <f t="shared" si="1"/>
        <v>143.02560000000005</v>
      </c>
      <c r="E7" s="3">
        <f t="shared" si="2"/>
        <v>181.02879999999999</v>
      </c>
      <c r="F7" s="3">
        <f t="shared" si="3"/>
        <v>4.750399999999992</v>
      </c>
      <c r="G7" s="4">
        <f t="shared" si="4"/>
        <v>184.42</v>
      </c>
      <c r="H7">
        <f t="shared" si="5"/>
        <v>88.736399999999762</v>
      </c>
    </row>
    <row r="8" spans="1:11" ht="15.6" x14ac:dyDescent="0.3">
      <c r="A8" s="3">
        <v>7</v>
      </c>
      <c r="B8" s="3">
        <v>155</v>
      </c>
      <c r="C8" s="3">
        <f t="shared" si="0"/>
        <v>160.62176000000002</v>
      </c>
      <c r="D8" s="3">
        <f t="shared" si="1"/>
        <v>146.54483200000007</v>
      </c>
      <c r="E8" s="3">
        <f t="shared" si="2"/>
        <v>174.69868799999998</v>
      </c>
      <c r="F8" s="3">
        <f t="shared" si="3"/>
        <v>3.5192319999999881</v>
      </c>
      <c r="G8" s="4">
        <f t="shared" si="4"/>
        <v>185.77919999999997</v>
      </c>
      <c r="H8">
        <f t="shared" si="5"/>
        <v>947.35915263999846</v>
      </c>
    </row>
    <row r="9" spans="1:11" ht="15.6" x14ac:dyDescent="0.3">
      <c r="A9" s="3">
        <v>8</v>
      </c>
      <c r="B9" s="3">
        <v>190</v>
      </c>
      <c r="C9" s="3">
        <f t="shared" si="0"/>
        <v>166.49740800000004</v>
      </c>
      <c r="D9" s="3">
        <f t="shared" si="1"/>
        <v>150.53534720000007</v>
      </c>
      <c r="E9" s="3">
        <f t="shared" si="2"/>
        <v>182.4594688</v>
      </c>
      <c r="F9" s="3">
        <f t="shared" si="3"/>
        <v>3.9905151999999902</v>
      </c>
      <c r="G9" s="4">
        <f t="shared" si="4"/>
        <v>178.21791999999996</v>
      </c>
      <c r="H9">
        <f t="shared" si="5"/>
        <v>138.81740912640086</v>
      </c>
    </row>
    <row r="10" spans="1:11" ht="15.6" x14ac:dyDescent="0.3">
      <c r="A10" s="3">
        <v>9</v>
      </c>
      <c r="B10" s="3">
        <v>220</v>
      </c>
      <c r="C10" s="3">
        <f t="shared" si="0"/>
        <v>177.19792640000003</v>
      </c>
      <c r="D10" s="3">
        <f t="shared" si="1"/>
        <v>155.86786304000009</v>
      </c>
      <c r="E10" s="3">
        <f t="shared" si="2"/>
        <v>198.52798975999997</v>
      </c>
      <c r="F10" s="3">
        <f t="shared" si="3"/>
        <v>5.332515839999985</v>
      </c>
      <c r="G10" s="4">
        <f t="shared" si="4"/>
        <v>186.44998399999997</v>
      </c>
      <c r="H10">
        <f t="shared" si="5"/>
        <v>1125.603573600258</v>
      </c>
    </row>
    <row r="11" spans="1:11" ht="15.6" x14ac:dyDescent="0.3">
      <c r="A11" s="3">
        <v>10</v>
      </c>
      <c r="B11" s="3">
        <v>219</v>
      </c>
      <c r="C11" s="3">
        <f t="shared" si="0"/>
        <v>185.55834112000005</v>
      </c>
      <c r="D11" s="3">
        <f t="shared" si="1"/>
        <v>161.80595865600009</v>
      </c>
      <c r="E11" s="3">
        <f t="shared" si="2"/>
        <v>209.31072358400002</v>
      </c>
      <c r="F11" s="3">
        <f t="shared" si="3"/>
        <v>5.9380956159999911</v>
      </c>
      <c r="G11" s="4">
        <f t="shared" si="4"/>
        <v>203.86050559999995</v>
      </c>
      <c r="H11">
        <f t="shared" si="5"/>
        <v>229.20429068763278</v>
      </c>
    </row>
    <row r="12" spans="1:11" ht="15.6" x14ac:dyDescent="0.3">
      <c r="A12" s="3">
        <v>11</v>
      </c>
      <c r="B12" s="3">
        <v>226</v>
      </c>
      <c r="C12" s="3">
        <f t="shared" si="0"/>
        <v>193.64667289600004</v>
      </c>
      <c r="D12" s="3">
        <f t="shared" si="1"/>
        <v>168.17410150400008</v>
      </c>
      <c r="E12" s="3">
        <f t="shared" si="2"/>
        <v>219.119244288</v>
      </c>
      <c r="F12" s="3">
        <f t="shared" si="3"/>
        <v>6.3681428479999909</v>
      </c>
      <c r="G12" s="4">
        <f t="shared" si="4"/>
        <v>215.24881920000001</v>
      </c>
      <c r="H12">
        <f t="shared" si="5"/>
        <v>115.58788859428834</v>
      </c>
    </row>
    <row r="13" spans="1:11" ht="15.6" x14ac:dyDescent="0.3">
      <c r="A13" s="3">
        <v>12</v>
      </c>
      <c r="B13" s="3">
        <v>198</v>
      </c>
      <c r="C13" s="3">
        <f t="shared" si="0"/>
        <v>194.51733831680005</v>
      </c>
      <c r="D13" s="3">
        <f t="shared" si="1"/>
        <v>173.44274886656007</v>
      </c>
      <c r="E13" s="3">
        <f t="shared" si="2"/>
        <v>215.59192776704003</v>
      </c>
      <c r="F13" s="3">
        <f t="shared" si="3"/>
        <v>5.2686473625599959</v>
      </c>
      <c r="G13" s="4">
        <f t="shared" si="4"/>
        <v>225.487387136</v>
      </c>
      <c r="H13">
        <f t="shared" si="5"/>
        <v>755.55645156433798</v>
      </c>
    </row>
    <row r="14" spans="1:11" ht="15.6" x14ac:dyDescent="0.3">
      <c r="A14" s="3">
        <v>13</v>
      </c>
      <c r="B14" s="3">
        <v>260</v>
      </c>
      <c r="C14" s="3">
        <f t="shared" si="0"/>
        <v>207.61387065344005</v>
      </c>
      <c r="D14" s="3">
        <f t="shared" si="1"/>
        <v>180.27697322393607</v>
      </c>
      <c r="E14" s="3">
        <f t="shared" si="2"/>
        <v>234.95076808294402</v>
      </c>
      <c r="F14" s="3">
        <f t="shared" si="3"/>
        <v>6.8342243573759944</v>
      </c>
      <c r="G14" s="4">
        <f t="shared" si="4"/>
        <v>220.86057512960002</v>
      </c>
      <c r="H14">
        <f t="shared" si="5"/>
        <v>1531.8945791856843</v>
      </c>
    </row>
    <row r="15" spans="1:11" ht="15.6" x14ac:dyDescent="0.3">
      <c r="A15" s="3">
        <v>14</v>
      </c>
      <c r="B15" s="3">
        <v>245</v>
      </c>
      <c r="C15" s="3">
        <f t="shared" si="0"/>
        <v>215.09109652275205</v>
      </c>
      <c r="D15" s="3">
        <f t="shared" si="1"/>
        <v>187.23979788369928</v>
      </c>
      <c r="E15" s="3">
        <f t="shared" si="2"/>
        <v>242.94239516180482</v>
      </c>
      <c r="F15" s="3">
        <f t="shared" si="3"/>
        <v>6.9628246597631929</v>
      </c>
      <c r="G15" s="4">
        <f t="shared" si="4"/>
        <v>241.78499244032002</v>
      </c>
      <c r="H15">
        <f t="shared" si="5"/>
        <v>10.33627360879939</v>
      </c>
    </row>
    <row r="16" spans="1:11" ht="15.6" x14ac:dyDescent="0.3">
      <c r="A16" s="3">
        <v>15</v>
      </c>
      <c r="B16" s="5"/>
      <c r="C16" s="4"/>
      <c r="D16" s="4"/>
      <c r="E16" s="4"/>
      <c r="F16" s="4"/>
      <c r="G16" s="4">
        <f t="shared" si="4"/>
        <v>249.90521982156801</v>
      </c>
    </row>
    <row r="18" spans="8:9" x14ac:dyDescent="0.25">
      <c r="H18" t="s">
        <v>16</v>
      </c>
      <c r="I18">
        <f>SUM(H4:H15)/12</f>
        <v>928.98470158394946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showGridLines="0" workbookViewId="0">
      <selection activeCell="H24" sqref="H24"/>
    </sheetView>
  </sheetViews>
  <sheetFormatPr defaultRowHeight="13.8" x14ac:dyDescent="0.25"/>
  <cols>
    <col min="6" max="6" width="11.88671875" bestFit="1" customWidth="1"/>
  </cols>
  <sheetData>
    <row r="1" spans="1:6" ht="20.399999999999999" x14ac:dyDescent="0.45">
      <c r="A1" s="1" t="s">
        <v>0</v>
      </c>
      <c r="B1" s="1" t="s">
        <v>1</v>
      </c>
      <c r="C1" s="1" t="s">
        <v>8</v>
      </c>
      <c r="D1" s="2" t="s">
        <v>5</v>
      </c>
      <c r="E1" s="2" t="s">
        <v>6</v>
      </c>
      <c r="F1" s="15" t="s">
        <v>15</v>
      </c>
    </row>
    <row r="2" spans="1:6" ht="15.6" x14ac:dyDescent="0.3">
      <c r="A2" s="3">
        <v>1</v>
      </c>
      <c r="B2" s="4">
        <v>125</v>
      </c>
      <c r="C2" s="4">
        <f>B2</f>
        <v>125</v>
      </c>
      <c r="D2" s="4">
        <f>C3-C2</f>
        <v>10</v>
      </c>
      <c r="E2" s="4"/>
    </row>
    <row r="3" spans="1:6" ht="15.6" x14ac:dyDescent="0.3">
      <c r="A3" s="3">
        <v>2</v>
      </c>
      <c r="B3" s="4">
        <v>135</v>
      </c>
      <c r="C3" s="4">
        <f>B3</f>
        <v>135</v>
      </c>
      <c r="D3" s="4">
        <f>C3-C2</f>
        <v>10</v>
      </c>
      <c r="E3" s="4">
        <f>C2+D2</f>
        <v>135</v>
      </c>
      <c r="F3">
        <f>(B3-E3)^2</f>
        <v>0</v>
      </c>
    </row>
    <row r="4" spans="1:6" ht="15.6" x14ac:dyDescent="0.3">
      <c r="A4" s="3">
        <v>3</v>
      </c>
      <c r="B4" s="4">
        <v>195</v>
      </c>
      <c r="C4" s="4">
        <f>0.5*B4+0.5*(C3+D3)</f>
        <v>170</v>
      </c>
      <c r="D4" s="4">
        <f>0.8*(C4-C3)+0.2*D3</f>
        <v>30</v>
      </c>
      <c r="E4" s="4">
        <f t="shared" ref="E4:E16" si="0">C3+D3</f>
        <v>145</v>
      </c>
      <c r="F4">
        <f t="shared" ref="F4:F15" si="1">(B4-E4)^2</f>
        <v>2500</v>
      </c>
    </row>
    <row r="5" spans="1:6" ht="15.6" x14ac:dyDescent="0.3">
      <c r="A5" s="3">
        <v>4</v>
      </c>
      <c r="B5" s="4">
        <v>197.5</v>
      </c>
      <c r="C5" s="4">
        <f t="shared" ref="C5:C15" si="2">0.5*B5+0.5*(C4+D4)</f>
        <v>198.75</v>
      </c>
      <c r="D5" s="4">
        <f t="shared" ref="D5:D15" si="3">0.8*(C5-C4)+0.2*D4</f>
        <v>29</v>
      </c>
      <c r="E5" s="4">
        <f t="shared" si="0"/>
        <v>200</v>
      </c>
      <c r="F5">
        <f t="shared" si="1"/>
        <v>6.25</v>
      </c>
    </row>
    <row r="6" spans="1:6" ht="15.6" x14ac:dyDescent="0.3">
      <c r="A6" s="3">
        <v>5</v>
      </c>
      <c r="B6" s="4">
        <v>186</v>
      </c>
      <c r="C6" s="4">
        <f t="shared" si="2"/>
        <v>206.875</v>
      </c>
      <c r="D6" s="4">
        <f t="shared" si="3"/>
        <v>12.3</v>
      </c>
      <c r="E6" s="4">
        <f t="shared" si="0"/>
        <v>227.75</v>
      </c>
      <c r="F6">
        <f t="shared" si="1"/>
        <v>1743.0625</v>
      </c>
    </row>
    <row r="7" spans="1:6" ht="15.6" x14ac:dyDescent="0.3">
      <c r="A7" s="3">
        <v>6</v>
      </c>
      <c r="B7" s="4">
        <v>175</v>
      </c>
      <c r="C7" s="4">
        <f t="shared" si="2"/>
        <v>197.08750000000001</v>
      </c>
      <c r="D7" s="4">
        <f t="shared" si="3"/>
        <v>-5.3699999999999957</v>
      </c>
      <c r="E7" s="4">
        <f t="shared" si="0"/>
        <v>219.17500000000001</v>
      </c>
      <c r="F7">
        <f t="shared" si="1"/>
        <v>1951.4306250000011</v>
      </c>
    </row>
    <row r="8" spans="1:6" ht="15.6" x14ac:dyDescent="0.3">
      <c r="A8" s="3">
        <v>7</v>
      </c>
      <c r="B8" s="4">
        <v>155</v>
      </c>
      <c r="C8" s="4">
        <f t="shared" si="2"/>
        <v>173.35874999999999</v>
      </c>
      <c r="D8" s="4">
        <f t="shared" si="3"/>
        <v>-20.057000000000013</v>
      </c>
      <c r="E8" s="4">
        <f t="shared" si="0"/>
        <v>191.7175</v>
      </c>
      <c r="F8">
        <f t="shared" si="1"/>
        <v>1348.1748062500001</v>
      </c>
    </row>
    <row r="9" spans="1:6" ht="15.6" x14ac:dyDescent="0.3">
      <c r="A9" s="3">
        <v>8</v>
      </c>
      <c r="B9" s="4">
        <v>190</v>
      </c>
      <c r="C9" s="4">
        <f t="shared" si="2"/>
        <v>171.65087499999998</v>
      </c>
      <c r="D9" s="4">
        <f t="shared" si="3"/>
        <v>-5.3777000000000044</v>
      </c>
      <c r="E9" s="4">
        <f t="shared" si="0"/>
        <v>153.30174999999997</v>
      </c>
      <c r="F9">
        <f t="shared" si="1"/>
        <v>1346.7615530625021</v>
      </c>
    </row>
    <row r="10" spans="1:6" ht="15.6" x14ac:dyDescent="0.3">
      <c r="A10" s="3">
        <v>9</v>
      </c>
      <c r="B10" s="4">
        <v>220</v>
      </c>
      <c r="C10" s="4">
        <f t="shared" si="2"/>
        <v>193.13658749999999</v>
      </c>
      <c r="D10" s="4">
        <f t="shared" si="3"/>
        <v>16.113030000000006</v>
      </c>
      <c r="E10" s="4">
        <f t="shared" si="0"/>
        <v>166.27317499999998</v>
      </c>
      <c r="F10">
        <f t="shared" si="1"/>
        <v>2886.5717245806272</v>
      </c>
    </row>
    <row r="11" spans="1:6" ht="15.6" x14ac:dyDescent="0.3">
      <c r="A11" s="3">
        <v>10</v>
      </c>
      <c r="B11" s="4">
        <v>219</v>
      </c>
      <c r="C11" s="4">
        <f t="shared" si="2"/>
        <v>214.12480875</v>
      </c>
      <c r="D11" s="4">
        <f t="shared" si="3"/>
        <v>20.013183000000012</v>
      </c>
      <c r="E11" s="4">
        <f t="shared" si="0"/>
        <v>209.2496175</v>
      </c>
      <c r="F11">
        <f t="shared" si="1"/>
        <v>95.069958896306261</v>
      </c>
    </row>
    <row r="12" spans="1:6" ht="15.6" x14ac:dyDescent="0.3">
      <c r="A12" s="3">
        <v>11</v>
      </c>
      <c r="B12" s="4">
        <v>226</v>
      </c>
      <c r="C12" s="4">
        <f t="shared" si="2"/>
        <v>230.06899587500001</v>
      </c>
      <c r="D12" s="4">
        <f t="shared" si="3"/>
        <v>16.757986300000013</v>
      </c>
      <c r="E12" s="4">
        <f t="shared" si="0"/>
        <v>234.13799175000003</v>
      </c>
      <c r="F12">
        <f t="shared" si="1"/>
        <v>66.226909723068488</v>
      </c>
    </row>
    <row r="13" spans="1:6" ht="15.6" x14ac:dyDescent="0.3">
      <c r="A13" s="3">
        <v>12</v>
      </c>
      <c r="B13" s="4">
        <v>198</v>
      </c>
      <c r="C13" s="4">
        <f t="shared" si="2"/>
        <v>222.41349108750001</v>
      </c>
      <c r="D13" s="4">
        <f t="shared" si="3"/>
        <v>-2.7728065700000029</v>
      </c>
      <c r="E13" s="4">
        <f t="shared" si="0"/>
        <v>246.82698217500001</v>
      </c>
      <c r="F13">
        <f t="shared" si="1"/>
        <v>2384.0741883177689</v>
      </c>
    </row>
    <row r="14" spans="1:6" ht="15.6" x14ac:dyDescent="0.3">
      <c r="A14" s="3">
        <v>13</v>
      </c>
      <c r="B14" s="4">
        <v>260</v>
      </c>
      <c r="C14" s="4">
        <f t="shared" si="2"/>
        <v>239.82034225875</v>
      </c>
      <c r="D14" s="4">
        <f t="shared" si="3"/>
        <v>13.370919622999997</v>
      </c>
      <c r="E14" s="4">
        <f t="shared" si="0"/>
        <v>219.64068451750001</v>
      </c>
      <c r="F14">
        <f t="shared" si="1"/>
        <v>1628.8743462159637</v>
      </c>
    </row>
    <row r="15" spans="1:6" ht="15.6" x14ac:dyDescent="0.3">
      <c r="A15" s="3">
        <v>14</v>
      </c>
      <c r="B15" s="4">
        <v>245</v>
      </c>
      <c r="C15" s="4">
        <f t="shared" si="2"/>
        <v>249.095630940875</v>
      </c>
      <c r="D15" s="4">
        <f t="shared" si="3"/>
        <v>10.094414870299996</v>
      </c>
      <c r="E15" s="4">
        <f t="shared" si="0"/>
        <v>253.19126188174999</v>
      </c>
      <c r="F15">
        <f t="shared" si="1"/>
        <v>67.09677121541047</v>
      </c>
    </row>
    <row r="16" spans="1:6" ht="15.6" x14ac:dyDescent="0.3">
      <c r="A16" s="3">
        <v>15</v>
      </c>
      <c r="B16" s="6"/>
      <c r="C16" s="4"/>
      <c r="D16" s="4"/>
      <c r="E16" s="4">
        <f t="shared" si="0"/>
        <v>259.19004581117497</v>
      </c>
    </row>
    <row r="19" spans="6:7" x14ac:dyDescent="0.25">
      <c r="F19" t="s">
        <v>16</v>
      </c>
      <c r="G19">
        <f>AVERAGE(F3:F15)</f>
        <v>1232.5841064047422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zoomScale="140" zoomScaleNormal="140" workbookViewId="0">
      <selection activeCell="A16" sqref="A16:E18"/>
    </sheetView>
  </sheetViews>
  <sheetFormatPr defaultRowHeight="13.8" x14ac:dyDescent="0.25"/>
  <sheetData>
    <row r="1" spans="1:5" ht="15.6" x14ac:dyDescent="0.3">
      <c r="A1" s="11" t="s">
        <v>12</v>
      </c>
      <c r="B1" s="11" t="s">
        <v>11</v>
      </c>
    </row>
    <row r="2" spans="1:5" ht="15.6" x14ac:dyDescent="0.3">
      <c r="A2" s="10">
        <v>1</v>
      </c>
      <c r="B2" s="10">
        <v>2.11</v>
      </c>
    </row>
    <row r="3" spans="1:5" ht="15.6" x14ac:dyDescent="0.3">
      <c r="A3" s="10">
        <v>2</v>
      </c>
      <c r="B3" s="10">
        <v>3.62</v>
      </c>
    </row>
    <row r="4" spans="1:5" ht="15.6" x14ac:dyDescent="0.3">
      <c r="A4" s="10">
        <v>3</v>
      </c>
      <c r="B4" s="10">
        <v>4.3899999999999997</v>
      </c>
    </row>
    <row r="5" spans="1:5" ht="15.6" x14ac:dyDescent="0.3">
      <c r="A5" s="10">
        <v>4</v>
      </c>
      <c r="B5" s="10">
        <v>5.03</v>
      </c>
    </row>
    <row r="6" spans="1:5" ht="15.6" x14ac:dyDescent="0.3">
      <c r="A6" s="10">
        <v>5</v>
      </c>
      <c r="B6" s="10">
        <v>5.66</v>
      </c>
    </row>
    <row r="7" spans="1:5" ht="15.6" x14ac:dyDescent="0.3">
      <c r="A7" s="10">
        <v>6</v>
      </c>
      <c r="B7" s="10">
        <v>5.73</v>
      </c>
    </row>
    <row r="8" spans="1:5" ht="15.6" x14ac:dyDescent="0.3">
      <c r="A8" s="10">
        <v>7</v>
      </c>
      <c r="B8" s="10">
        <v>6.57</v>
      </c>
    </row>
    <row r="9" spans="1:5" ht="15.6" x14ac:dyDescent="0.3">
      <c r="A9" s="10">
        <v>8</v>
      </c>
      <c r="B9" s="10">
        <v>7.84</v>
      </c>
    </row>
    <row r="10" spans="1:5" ht="15.6" x14ac:dyDescent="0.3">
      <c r="A10" s="10">
        <v>9</v>
      </c>
      <c r="B10" s="10">
        <v>10.57</v>
      </c>
    </row>
    <row r="11" spans="1:5" ht="15.6" x14ac:dyDescent="0.3">
      <c r="A11" s="10">
        <v>10</v>
      </c>
      <c r="B11" s="10">
        <v>16.93</v>
      </c>
    </row>
    <row r="12" spans="1:5" ht="15.6" x14ac:dyDescent="0.3">
      <c r="A12" s="10">
        <v>11</v>
      </c>
      <c r="B12" s="10">
        <v>21.36</v>
      </c>
    </row>
    <row r="16" spans="1:5" x14ac:dyDescent="0.25">
      <c r="A16" s="12" t="s">
        <v>14</v>
      </c>
      <c r="B16" s="12"/>
      <c r="C16" s="12"/>
      <c r="D16" s="12"/>
      <c r="E16" s="12"/>
    </row>
    <row r="17" spans="1:5" x14ac:dyDescent="0.25">
      <c r="A17" s="12"/>
      <c r="B17" s="12"/>
      <c r="C17" s="12"/>
      <c r="D17" s="12"/>
      <c r="E17" s="12"/>
    </row>
    <row r="18" spans="1:5" x14ac:dyDescent="0.25">
      <c r="A18" s="12"/>
      <c r="B18" s="12"/>
      <c r="C18" s="12"/>
      <c r="D18" s="12"/>
      <c r="E18" s="12"/>
    </row>
  </sheetData>
  <mergeCells count="1">
    <mergeCell ref="A16:E18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zoomScale="140" zoomScaleNormal="140" workbookViewId="0">
      <selection sqref="A1:C7"/>
    </sheetView>
  </sheetViews>
  <sheetFormatPr defaultRowHeight="13.8" x14ac:dyDescent="0.25"/>
  <sheetData>
    <row r="1" spans="1:6" ht="16.2" x14ac:dyDescent="0.4">
      <c r="A1" s="9" t="s">
        <v>9</v>
      </c>
      <c r="B1" s="9" t="s">
        <v>10</v>
      </c>
      <c r="C1" s="9" t="s">
        <v>11</v>
      </c>
    </row>
    <row r="2" spans="1:6" ht="15.6" x14ac:dyDescent="0.35">
      <c r="A2" s="7">
        <v>2012</v>
      </c>
      <c r="B2" s="7">
        <v>0</v>
      </c>
      <c r="C2" s="7">
        <v>9</v>
      </c>
    </row>
    <row r="3" spans="1:6" ht="15.6" x14ac:dyDescent="0.35">
      <c r="A3" s="7">
        <v>2013</v>
      </c>
      <c r="B3" s="7">
        <v>1</v>
      </c>
      <c r="C3" s="7">
        <v>17</v>
      </c>
    </row>
    <row r="4" spans="1:6" ht="15.6" x14ac:dyDescent="0.35">
      <c r="A4" s="7">
        <v>2014</v>
      </c>
      <c r="B4" s="7">
        <v>2</v>
      </c>
      <c r="C4" s="7">
        <v>23</v>
      </c>
    </row>
    <row r="5" spans="1:6" ht="15.6" x14ac:dyDescent="0.35">
      <c r="A5" s="7">
        <v>2015</v>
      </c>
      <c r="B5" s="7">
        <v>3</v>
      </c>
      <c r="C5" s="7">
        <v>35</v>
      </c>
    </row>
    <row r="6" spans="1:6" ht="15.6" x14ac:dyDescent="0.35">
      <c r="A6" s="7">
        <v>2016</v>
      </c>
      <c r="B6" s="7">
        <v>4</v>
      </c>
      <c r="C6" s="7">
        <v>46</v>
      </c>
    </row>
    <row r="7" spans="1:6" ht="15.6" x14ac:dyDescent="0.35">
      <c r="A7" s="7">
        <v>2017</v>
      </c>
      <c r="B7" s="7">
        <v>5</v>
      </c>
      <c r="C7" s="7">
        <v>51</v>
      </c>
    </row>
    <row r="8" spans="1:6" ht="15.6" x14ac:dyDescent="0.35">
      <c r="A8" s="8">
        <v>2018</v>
      </c>
      <c r="B8" s="7"/>
      <c r="C8" s="7"/>
    </row>
    <row r="9" spans="1:6" ht="15.6" x14ac:dyDescent="0.35">
      <c r="A9" s="8">
        <v>2019</v>
      </c>
      <c r="B9" s="7"/>
      <c r="C9" s="7"/>
    </row>
    <row r="12" spans="1:6" x14ac:dyDescent="0.25">
      <c r="A12" s="13" t="s">
        <v>13</v>
      </c>
      <c r="B12" s="14"/>
      <c r="C12" s="14"/>
      <c r="D12" s="14"/>
      <c r="E12" s="14"/>
      <c r="F12" s="14"/>
    </row>
    <row r="13" spans="1:6" x14ac:dyDescent="0.25">
      <c r="A13" s="14"/>
      <c r="B13" s="14"/>
      <c r="C13" s="14"/>
      <c r="D13" s="14"/>
      <c r="E13" s="14"/>
      <c r="F13" s="14"/>
    </row>
    <row r="14" spans="1:6" x14ac:dyDescent="0.25">
      <c r="A14" s="14"/>
      <c r="B14" s="14"/>
      <c r="C14" s="14"/>
      <c r="D14" s="14"/>
      <c r="E14" s="14"/>
      <c r="F14" s="14"/>
    </row>
  </sheetData>
  <mergeCells count="1">
    <mergeCell ref="A12:F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线性二次移动平均法</vt:lpstr>
      <vt:lpstr>单一参数线性指数平滑法</vt:lpstr>
      <vt:lpstr>双参数线性指数平滑法</vt:lpstr>
      <vt:lpstr>随堂练习（二次移动平均法）</vt:lpstr>
      <vt:lpstr>随堂练习（二次指数平滑法）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2021-11-09T01:39:56Z</dcterms:modified>
</cp:coreProperties>
</file>