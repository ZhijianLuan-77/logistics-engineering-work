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activeTab="1"/>
  </bookViews>
  <sheets>
    <sheet name="关联度分析" sheetId="1" r:id="rId1"/>
    <sheet name="GM(1,1)模型演示计算" sheetId="4" r:id="rId2"/>
    <sheet name="参考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<sst xmlns="http://schemas.openxmlformats.org/spreadsheetml/2006/main" count="35" uniqueCount="23">
  <si>
    <r>
      <rPr>
        <b/>
        <sz val="14"/>
        <color theme="1"/>
        <rFont val="宋体"/>
        <charset val="134"/>
      </rPr>
      <t>工业</t>
    </r>
  </si>
  <si>
    <r>
      <rPr>
        <b/>
        <sz val="14"/>
        <color theme="1"/>
        <rFont val="宋体"/>
        <charset val="134"/>
      </rPr>
      <t>农业</t>
    </r>
  </si>
  <si>
    <r>
      <rPr>
        <b/>
        <sz val="14"/>
        <color theme="1"/>
        <rFont val="宋体"/>
        <charset val="134"/>
      </rPr>
      <t>运输业</t>
    </r>
  </si>
  <si>
    <r>
      <rPr>
        <b/>
        <sz val="14"/>
        <color theme="1"/>
        <rFont val="宋体"/>
        <charset val="134"/>
      </rPr>
      <t>商业</t>
    </r>
  </si>
  <si>
    <t>t</t>
  </si>
  <si>
    <r>
      <rPr>
        <b/>
        <i/>
        <sz val="14"/>
        <color theme="1"/>
        <rFont val="Times New Roman"/>
        <charset val="134"/>
      </rPr>
      <t>X</t>
    </r>
    <r>
      <rPr>
        <b/>
        <sz val="14"/>
        <color theme="1"/>
        <rFont val="Times New Roman"/>
        <charset val="134"/>
      </rPr>
      <t>0</t>
    </r>
  </si>
  <si>
    <t>X1</t>
  </si>
  <si>
    <t>Z1</t>
  </si>
  <si>
    <t>B</t>
  </si>
  <si>
    <t>求逆</t>
  </si>
  <si>
    <r>
      <rPr>
        <b/>
        <sz val="14"/>
        <color theme="1"/>
        <rFont val="Times New Roman"/>
        <charset val="134"/>
      </rPr>
      <t>X1</t>
    </r>
    <r>
      <rPr>
        <b/>
        <sz val="14"/>
        <color theme="1"/>
        <rFont val="宋体"/>
        <charset val="134"/>
      </rPr>
      <t>估计</t>
    </r>
  </si>
  <si>
    <r>
      <rPr>
        <b/>
        <sz val="14"/>
        <color theme="1"/>
        <rFont val="Times New Roman"/>
        <charset val="134"/>
      </rPr>
      <t>X0</t>
    </r>
    <r>
      <rPr>
        <b/>
        <sz val="14"/>
        <color theme="1"/>
        <rFont val="宋体"/>
        <charset val="134"/>
      </rPr>
      <t>估计</t>
    </r>
  </si>
  <si>
    <t>绝对误差</t>
  </si>
  <si>
    <t>相对误差</t>
  </si>
  <si>
    <t>α</t>
  </si>
  <si>
    <t>μ</t>
  </si>
  <si>
    <t>μ/α</t>
  </si>
  <si>
    <t>均值</t>
  </si>
  <si>
    <t>标准差</t>
  </si>
  <si>
    <t>S1</t>
  </si>
  <si>
    <t>S2</t>
  </si>
  <si>
    <t>C</t>
  </si>
  <si>
    <t>S0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</si>
</sst>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4"/>
      <color theme="1"/>
      <name val="Times New Roman"/>
      <charset val="134"/>
    </font>
    <font>
      <sz val="11"/>
      <color theme="1"/>
      <name val="Times New Roman"/>
      <charset val="134"/>
    </font>
    <font>
      <b/>
      <i/>
      <sz val="14"/>
      <color theme="1"/>
      <name val="Times New Roman"/>
      <charset val="134"/>
    </font>
    <font>
      <sz val="12"/>
      <color theme="1"/>
      <name val="Times New Roman"/>
      <charset val="134"/>
    </font>
    <font>
      <sz val="11"/>
      <color theme="1"/>
      <name val="宋体"/>
      <charset val="134"/>
    </font>
    <font>
      <b/>
      <sz val="14"/>
      <color theme="1"/>
      <name val="宋体"/>
      <charset val="134"/>
    </font>
    <font>
      <sz val="11"/>
      <color rgb="FFFF0000"/>
      <name val="Times New Roman"/>
      <charset val="134"/>
    </font>
    <font>
      <sz val="14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4" applyNumberFormat="0" applyAlignment="0" applyProtection="0">
      <alignment vertical="center"/>
    </xf>
    <xf numFmtId="0" fontId="18" fillId="8" borderId="5" applyNumberFormat="0" applyAlignment="0" applyProtection="0">
      <alignment vertical="center"/>
    </xf>
    <xf numFmtId="0" fontId="19" fillId="8" borderId="4" applyNumberFormat="0" applyAlignment="0" applyProtection="0">
      <alignment vertical="center"/>
    </xf>
    <xf numFmtId="0" fontId="20" fillId="9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2" fillId="4" borderId="0" xfId="0" applyFont="1" applyFill="1"/>
    <xf numFmtId="0" fontId="5" fillId="0" borderId="0" xfId="0" applyFont="1"/>
    <xf numFmtId="0" fontId="6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1" fillId="5" borderId="0" xfId="0" applyFont="1" applyFill="1"/>
    <xf numFmtId="0" fontId="8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E17" sqref="E17"/>
    </sheetView>
  </sheetViews>
  <sheetFormatPr defaultColWidth="9" defaultRowHeight="13.5" outlineLevelRow="3" outlineLevelCol="4"/>
  <sheetData>
    <row r="1" ht="18.75" spans="1:5">
      <c r="A1" s="13" t="s">
        <v>0</v>
      </c>
      <c r="B1" s="14">
        <v>45.8</v>
      </c>
      <c r="C1" s="14">
        <v>43.4</v>
      </c>
      <c r="D1" s="14">
        <v>42.3</v>
      </c>
      <c r="E1" s="14">
        <v>41.9</v>
      </c>
    </row>
    <row r="2" ht="18.75" spans="1:5">
      <c r="A2" s="13" t="s">
        <v>1</v>
      </c>
      <c r="B2" s="14">
        <v>39.1</v>
      </c>
      <c r="C2" s="14">
        <v>41.6</v>
      </c>
      <c r="D2" s="14">
        <v>43.9</v>
      </c>
      <c r="E2" s="14">
        <v>44.9</v>
      </c>
    </row>
    <row r="3" ht="18.75" spans="1:5">
      <c r="A3" s="13" t="s">
        <v>2</v>
      </c>
      <c r="B3" s="14">
        <v>3.4</v>
      </c>
      <c r="C3" s="14">
        <v>3.3</v>
      </c>
      <c r="D3" s="14">
        <v>3.5</v>
      </c>
      <c r="E3" s="14">
        <v>3.5</v>
      </c>
    </row>
    <row r="4" ht="18.75" spans="1:5">
      <c r="A4" s="13" t="s">
        <v>3</v>
      </c>
      <c r="B4" s="14">
        <v>6.7</v>
      </c>
      <c r="C4" s="14">
        <v>6.8</v>
      </c>
      <c r="D4" s="14">
        <v>5.4</v>
      </c>
      <c r="E4" s="14">
        <v>4.7</v>
      </c>
    </row>
  </sheetData>
  <pageMargins left="0.7" right="0.7" top="0.75" bottom="0.75" header="0.3" footer="0.3"/>
  <pageSetup paperSize="9" orientation="portrait" horizontalDpi="1200" verticalDpi="12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9"/>
  <sheetViews>
    <sheetView tabSelected="1" workbookViewId="0">
      <selection activeCell="J15" sqref="J15"/>
    </sheetView>
  </sheetViews>
  <sheetFormatPr defaultColWidth="9" defaultRowHeight="13.5"/>
  <cols>
    <col min="7" max="7" width="10.375"/>
    <col min="8" max="8" width="9.375"/>
    <col min="14" max="15" width="12" customWidth="1"/>
    <col min="16" max="17" width="12.7083333333333" customWidth="1"/>
  </cols>
  <sheetData>
    <row r="1" ht="18.75" spans="1:17">
      <c r="A1" s="3" t="s">
        <v>4</v>
      </c>
      <c r="B1" s="3" t="s">
        <v>5</v>
      </c>
      <c r="C1" s="1" t="s">
        <v>6</v>
      </c>
      <c r="D1" s="1" t="s">
        <v>7</v>
      </c>
      <c r="E1" s="4" t="s">
        <v>8</v>
      </c>
      <c r="F1" s="4"/>
      <c r="G1" s="1"/>
      <c r="H1" s="1"/>
      <c r="I1" s="10" t="s">
        <v>9</v>
      </c>
      <c r="J1" s="4"/>
      <c r="K1" s="1"/>
      <c r="L1" s="1"/>
      <c r="M1" s="1"/>
      <c r="N1" s="1" t="s">
        <v>10</v>
      </c>
      <c r="O1" s="1" t="s">
        <v>11</v>
      </c>
      <c r="P1" s="11" t="s">
        <v>12</v>
      </c>
      <c r="Q1" s="11" t="s">
        <v>13</v>
      </c>
    </row>
    <row r="2" ht="15.75" spans="1:2">
      <c r="A2" s="5">
        <v>1</v>
      </c>
      <c r="B2" s="6">
        <v>2.67</v>
      </c>
    </row>
    <row r="3" ht="15.75" spans="1:2">
      <c r="A3" s="5">
        <v>2</v>
      </c>
      <c r="B3" s="6">
        <v>3.13</v>
      </c>
    </row>
    <row r="4" ht="15.75" spans="1:2">
      <c r="A4" s="5">
        <v>3</v>
      </c>
      <c r="B4" s="6">
        <v>3.25</v>
      </c>
    </row>
    <row r="5" ht="15.75" spans="1:2">
      <c r="A5" s="5">
        <v>4</v>
      </c>
      <c r="B5" s="6">
        <v>3.36</v>
      </c>
    </row>
    <row r="6" ht="15.75" spans="1:2">
      <c r="A6" s="5">
        <v>5</v>
      </c>
      <c r="B6" s="6">
        <v>3.56</v>
      </c>
    </row>
    <row r="7" ht="15.75" spans="1:2">
      <c r="A7" s="5">
        <v>6</v>
      </c>
      <c r="B7" s="6">
        <v>3.72</v>
      </c>
    </row>
    <row r="8" ht="15.75" spans="1:2">
      <c r="A8" s="5">
        <v>7</v>
      </c>
      <c r="B8" s="2"/>
    </row>
    <row r="9" ht="15.75" spans="1:2">
      <c r="A9" s="5">
        <v>8</v>
      </c>
      <c r="B9" s="2"/>
    </row>
  </sheetData>
  <mergeCells count="2">
    <mergeCell ref="E1:F1"/>
    <mergeCell ref="I1:J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4"/>
  <sheetViews>
    <sheetView workbookViewId="0">
      <selection activeCell="G3" sqref="G3:H4"/>
    </sheetView>
  </sheetViews>
  <sheetFormatPr defaultColWidth="8.70833333333333" defaultRowHeight="15"/>
  <cols>
    <col min="1" max="1" width="8.70833333333333" style="2"/>
    <col min="2" max="2" width="12.7083333333333" style="2" customWidth="1"/>
    <col min="3" max="8" width="8.70833333333333" style="2"/>
    <col min="9" max="9" width="9" style="2" customWidth="1"/>
    <col min="10" max="15" width="8.70833333333333" style="2"/>
    <col min="16" max="17" width="12.7083333333333" style="2" customWidth="1"/>
    <col min="18" max="16384" width="8.70833333333333" style="2"/>
  </cols>
  <sheetData>
    <row r="1" s="1" customFormat="1" ht="18.75" spans="1:17">
      <c r="A1" s="3" t="s">
        <v>4</v>
      </c>
      <c r="B1" s="3" t="s">
        <v>5</v>
      </c>
      <c r="C1" s="1" t="s">
        <v>6</v>
      </c>
      <c r="D1" s="1" t="s">
        <v>7</v>
      </c>
      <c r="E1" s="4" t="s">
        <v>8</v>
      </c>
      <c r="F1" s="4"/>
      <c r="I1" s="10" t="s">
        <v>9</v>
      </c>
      <c r="J1" s="4"/>
      <c r="N1" s="1" t="s">
        <v>10</v>
      </c>
      <c r="O1" s="1" t="s">
        <v>11</v>
      </c>
      <c r="P1" s="11" t="s">
        <v>12</v>
      </c>
      <c r="Q1" s="11" t="s">
        <v>13</v>
      </c>
    </row>
    <row r="2" ht="15.75" spans="1:17">
      <c r="A2" s="5">
        <v>1</v>
      </c>
      <c r="B2" s="6">
        <v>2.67</v>
      </c>
      <c r="C2" s="2">
        <f>B2</f>
        <v>2.67</v>
      </c>
      <c r="N2" s="2">
        <f>$L$6*EXP(-$L$3*(A2-1))+$L$5</f>
        <v>2.67</v>
      </c>
      <c r="O2" s="2">
        <f>N2</f>
        <v>2.67</v>
      </c>
      <c r="P2" s="2">
        <f>ABS(B2-O2)</f>
        <v>0</v>
      </c>
      <c r="Q2" s="2">
        <f>P2/B2</f>
        <v>0</v>
      </c>
    </row>
    <row r="3" ht="15.75" spans="1:17">
      <c r="A3" s="5">
        <v>2</v>
      </c>
      <c r="B3" s="7">
        <v>3.13</v>
      </c>
      <c r="C3" s="2">
        <f>C2+B3</f>
        <v>5.8</v>
      </c>
      <c r="D3" s="2">
        <f>AVERAGE(C2:C3)</f>
        <v>4.235</v>
      </c>
      <c r="E3" s="8">
        <f>-D3</f>
        <v>-4.235</v>
      </c>
      <c r="F3" s="8">
        <v>1</v>
      </c>
      <c r="G3" s="2">
        <f t="array" ref="G3:H4">MMULT(TRANSPOSE(E3:F7),E3:F7)</f>
        <v>707.46375</v>
      </c>
      <c r="H3" s="2">
        <v>-54.41</v>
      </c>
      <c r="I3" s="2">
        <f t="array" ref="I3:J4">MINVERSE(G3:H4)</f>
        <v>0.00866745430713106</v>
      </c>
      <c r="J3" s="2">
        <v>0.0943192377702002</v>
      </c>
      <c r="K3" s="2">
        <f t="array" ref="K3:K4">MMULT(TRANSPOSE(E3:F7),B3:B7)</f>
        <v>-190.2836</v>
      </c>
      <c r="L3" s="12">
        <f t="array" ref="L3:L4">MMULT(I3:J4,K3:K4)</f>
        <v>-0.0439609815475965</v>
      </c>
      <c r="M3" s="2" t="s">
        <v>14</v>
      </c>
      <c r="N3" s="2">
        <f t="shared" ref="N3:N9" si="0">$L$6*EXP(-$L$3*(A3-1))+$L$5</f>
        <v>5.7808698852044</v>
      </c>
      <c r="O3" s="2">
        <f>N3-N2</f>
        <v>3.11086988520439</v>
      </c>
      <c r="P3" s="2">
        <f t="shared" ref="P3:P7" si="1">ABS(B3-O3)</f>
        <v>0.0191301147956056</v>
      </c>
      <c r="Q3" s="2">
        <f t="shared" ref="Q3:Q7" si="2">P3/B3</f>
        <v>0.0061118577621743</v>
      </c>
    </row>
    <row r="4" ht="15.75" spans="1:17">
      <c r="A4" s="5">
        <v>3</v>
      </c>
      <c r="B4" s="7">
        <v>3.25</v>
      </c>
      <c r="C4" s="2">
        <f>C3+B4</f>
        <v>9.05</v>
      </c>
      <c r="D4" s="2">
        <f t="shared" ref="D4:D7" si="3">AVERAGE(C3:C4)</f>
        <v>7.425</v>
      </c>
      <c r="E4" s="8">
        <f t="shared" ref="E4:E7" si="4">-D4</f>
        <v>-7.425</v>
      </c>
      <c r="F4" s="8">
        <v>1</v>
      </c>
      <c r="G4" s="2">
        <v>-54.41</v>
      </c>
      <c r="H4" s="2">
        <v>5</v>
      </c>
      <c r="I4" s="2">
        <v>0.0943192377702002</v>
      </c>
      <c r="J4" s="2">
        <v>1.22638194541532</v>
      </c>
      <c r="K4" s="2">
        <v>17.02</v>
      </c>
      <c r="L4" s="12">
        <v>2.92561659879906</v>
      </c>
      <c r="M4" s="2" t="s">
        <v>15</v>
      </c>
      <c r="N4" s="2">
        <f t="shared" si="0"/>
        <v>9.03154718472483</v>
      </c>
      <c r="O4" s="2">
        <f>N4-N3</f>
        <v>3.25067729952043</v>
      </c>
      <c r="P4" s="2">
        <f t="shared" si="1"/>
        <v>0.000677299520432939</v>
      </c>
      <c r="Q4" s="2">
        <f t="shared" si="2"/>
        <v>0.000208399852440904</v>
      </c>
    </row>
    <row r="5" ht="15.75" spans="1:17">
      <c r="A5" s="5">
        <v>4</v>
      </c>
      <c r="B5" s="7">
        <v>3.36</v>
      </c>
      <c r="C5" s="2">
        <f t="shared" ref="C5:C7" si="5">C4+B5</f>
        <v>12.41</v>
      </c>
      <c r="D5" s="2">
        <f t="shared" si="3"/>
        <v>10.73</v>
      </c>
      <c r="E5" s="8">
        <f t="shared" si="4"/>
        <v>-10.73</v>
      </c>
      <c r="F5" s="8">
        <v>1</v>
      </c>
      <c r="L5" s="2">
        <f>L4/L3</f>
        <v>-66.5503020134228</v>
      </c>
      <c r="M5" s="2" t="s">
        <v>16</v>
      </c>
      <c r="N5" s="2">
        <f t="shared" si="0"/>
        <v>12.4283150649485</v>
      </c>
      <c r="O5" s="2">
        <f t="shared" ref="O5:O9" si="6">N5-N4</f>
        <v>3.39676788022368</v>
      </c>
      <c r="P5" s="2">
        <f t="shared" si="1"/>
        <v>0.0367678802236777</v>
      </c>
      <c r="Q5" s="2">
        <f t="shared" si="2"/>
        <v>0.0109428214951422</v>
      </c>
    </row>
    <row r="6" ht="15.75" spans="1:17">
      <c r="A6" s="5">
        <v>5</v>
      </c>
      <c r="B6" s="7">
        <v>3.56</v>
      </c>
      <c r="C6" s="2">
        <f t="shared" si="5"/>
        <v>15.97</v>
      </c>
      <c r="D6" s="2">
        <f t="shared" si="3"/>
        <v>14.19</v>
      </c>
      <c r="E6" s="8">
        <f t="shared" si="4"/>
        <v>-14.19</v>
      </c>
      <c r="F6" s="8">
        <v>1</v>
      </c>
      <c r="L6" s="2">
        <f>B2-L5</f>
        <v>69.2203020134228</v>
      </c>
      <c r="N6" s="2">
        <f t="shared" si="0"/>
        <v>15.9777390677006</v>
      </c>
      <c r="O6" s="2">
        <f t="shared" si="6"/>
        <v>3.54942400275213</v>
      </c>
      <c r="P6" s="2">
        <f t="shared" si="1"/>
        <v>0.0105759972478672</v>
      </c>
      <c r="Q6" s="2">
        <f t="shared" si="2"/>
        <v>0.00297078574378291</v>
      </c>
    </row>
    <row r="7" ht="15.75" spans="1:17">
      <c r="A7" s="5">
        <v>6</v>
      </c>
      <c r="B7" s="7">
        <v>3.72</v>
      </c>
      <c r="C7" s="2">
        <f t="shared" si="5"/>
        <v>19.69</v>
      </c>
      <c r="D7" s="2">
        <f t="shared" si="3"/>
        <v>17.83</v>
      </c>
      <c r="E7" s="8">
        <f t="shared" si="4"/>
        <v>-17.83</v>
      </c>
      <c r="F7" s="8">
        <v>1</v>
      </c>
      <c r="N7" s="2">
        <f t="shared" si="0"/>
        <v>19.6866798006433</v>
      </c>
      <c r="O7" s="2">
        <f t="shared" si="6"/>
        <v>3.70894073294266</v>
      </c>
      <c r="P7" s="2">
        <f t="shared" si="1"/>
        <v>0.0110592670573353</v>
      </c>
      <c r="Q7" s="2">
        <f t="shared" si="2"/>
        <v>0.00297292125197185</v>
      </c>
    </row>
    <row r="8" ht="15.75" spans="1:15">
      <c r="A8" s="5">
        <v>7</v>
      </c>
      <c r="N8" s="2">
        <f t="shared" si="0"/>
        <v>23.5623061980011</v>
      </c>
      <c r="O8" s="2">
        <f t="shared" si="6"/>
        <v>3.87562639735776</v>
      </c>
    </row>
    <row r="9" ht="15.75" spans="1:15">
      <c r="A9" s="5">
        <v>8</v>
      </c>
      <c r="N9" s="2">
        <f t="shared" si="0"/>
        <v>27.6121093772444</v>
      </c>
      <c r="O9" s="2">
        <f t="shared" si="6"/>
        <v>4.0498031792433</v>
      </c>
    </row>
    <row r="15" ht="18.75" spans="2:4">
      <c r="B15" s="3" t="s">
        <v>5</v>
      </c>
      <c r="D15" s="2" t="s">
        <v>12</v>
      </c>
    </row>
    <row r="16" ht="15.75" spans="2:7">
      <c r="B16" s="6">
        <v>2.67</v>
      </c>
      <c r="C16" s="2">
        <f>(B16-$B$22)^2</f>
        <v>0.374136111111111</v>
      </c>
      <c r="D16" s="2">
        <v>1.77635683940025e-15</v>
      </c>
      <c r="E16" s="2">
        <f>(D16-$D$22)^2</f>
        <v>0.000169913653189808</v>
      </c>
      <c r="G16" s="2">
        <f>ABS(D16-$D$22)</f>
        <v>0.0130350931408183</v>
      </c>
    </row>
    <row r="17" ht="15.75" spans="2:7">
      <c r="B17" s="7">
        <v>3.13</v>
      </c>
      <c r="C17" s="2">
        <f t="shared" ref="C17:C21" si="7">(B17-$B$22)^2</f>
        <v>0.0230027777777778</v>
      </c>
      <c r="D17" s="2">
        <v>0.0191301147956056</v>
      </c>
      <c r="E17" s="2">
        <f t="shared" ref="E17:E21" si="8">(D17-$D$22)^2</f>
        <v>3.7149288972304e-5</v>
      </c>
      <c r="G17" s="2">
        <f t="shared" ref="G17:G21" si="9">ABS(D17-$D$22)</f>
        <v>0.00609502165478548</v>
      </c>
    </row>
    <row r="18" ht="15.75" spans="2:7">
      <c r="B18" s="7">
        <v>3.25</v>
      </c>
      <c r="C18" s="2">
        <f t="shared" si="7"/>
        <v>0.00100277777777778</v>
      </c>
      <c r="D18" s="2">
        <v>0.000677299520432939</v>
      </c>
      <c r="E18" s="2">
        <f t="shared" si="8"/>
        <v>0.000152715063164081</v>
      </c>
      <c r="G18" s="2">
        <f t="shared" si="9"/>
        <v>0.0123577936203871</v>
      </c>
    </row>
    <row r="19" ht="15.75" spans="2:7">
      <c r="B19" s="7">
        <v>3.36</v>
      </c>
      <c r="C19" s="2">
        <f t="shared" si="7"/>
        <v>0.00613611111111108</v>
      </c>
      <c r="D19" s="2">
        <v>0.0367678802236777</v>
      </c>
      <c r="E19" s="2">
        <f t="shared" si="8"/>
        <v>0.000563245182720255</v>
      </c>
      <c r="G19" s="2">
        <f t="shared" si="9"/>
        <v>0.0237327870828576</v>
      </c>
    </row>
    <row r="20" ht="15.75" spans="2:7">
      <c r="B20" s="7">
        <v>3.56</v>
      </c>
      <c r="C20" s="2">
        <f t="shared" si="7"/>
        <v>0.0774694444444444</v>
      </c>
      <c r="D20" s="2">
        <v>0.0105759972478672</v>
      </c>
      <c r="E20" s="2">
        <f t="shared" si="8"/>
        <v>6.04715261073782e-6</v>
      </c>
      <c r="G20" s="2">
        <f t="shared" si="9"/>
        <v>0.0024590958929529</v>
      </c>
    </row>
    <row r="21" ht="15.75" spans="2:7">
      <c r="B21" s="7">
        <v>3.72</v>
      </c>
      <c r="C21" s="2">
        <f t="shared" si="7"/>
        <v>0.192136111111111</v>
      </c>
      <c r="D21" s="2">
        <v>0.0110592670573353</v>
      </c>
      <c r="E21" s="2">
        <f t="shared" si="8"/>
        <v>3.90388871217884e-6</v>
      </c>
      <c r="G21" s="2">
        <f t="shared" si="9"/>
        <v>0.00197582608348479</v>
      </c>
    </row>
    <row r="22" spans="1:4">
      <c r="A22" s="9" t="s">
        <v>17</v>
      </c>
      <c r="B22" s="2">
        <f>AVERAGE(B16:B21)</f>
        <v>3.28166666666667</v>
      </c>
      <c r="D22" s="2">
        <f>AVERAGE(D16:D21)</f>
        <v>0.0130350931408201</v>
      </c>
    </row>
    <row r="23" spans="1:7">
      <c r="A23" s="9" t="s">
        <v>18</v>
      </c>
      <c r="B23" s="2">
        <f>SQRT(SUM(C16:C21)/5)</f>
        <v>0.367119417447057</v>
      </c>
      <c r="D23" s="2">
        <f>SQRT(SUM(E16:E21)/5)</f>
        <v>0.0136599723965268</v>
      </c>
      <c r="F23" s="2">
        <f>D23/B23</f>
        <v>0.0372085260200019</v>
      </c>
      <c r="G23" s="2">
        <f>0.6745*B23</f>
        <v>0.24762204706804</v>
      </c>
    </row>
    <row r="24" spans="2:7">
      <c r="B24" s="2" t="s">
        <v>19</v>
      </c>
      <c r="D24" s="2" t="s">
        <v>20</v>
      </c>
      <c r="F24" s="2" t="s">
        <v>21</v>
      </c>
      <c r="G24" s="2" t="s">
        <v>22</v>
      </c>
    </row>
  </sheetData>
  <mergeCells count="2">
    <mergeCell ref="E1:F1"/>
    <mergeCell ref="I1:J1"/>
  </mergeCells>
  <pageMargins left="0.7" right="0.7" top="0.75" bottom="0.75" header="0.3" footer="0.3"/>
  <pageSetup paperSize="9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关联度分析</vt:lpstr>
      <vt:lpstr>GM(1,1)模型演示计算</vt:lpstr>
      <vt:lpstr>参考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祝慧灵</cp:lastModifiedBy>
  <dcterms:created xsi:type="dcterms:W3CDTF">2006-09-16T00:00:00Z</dcterms:created>
  <dcterms:modified xsi:type="dcterms:W3CDTF">2025-10-16T04:43:10Z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694443815C3A4CDC93D8890F68E38D95_12</vt:lpwstr>
  </property>
  <property fmtid="{D5CDD505-2E9C-101B-9397-08002B2CF9AE}" pid="3" name="KSOProductBuildVer">
    <vt:lpwstr>2052-12.1.0.22529</vt:lpwstr>
  </property>
</Properties>
</file>